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port" sheetId="1" state="visible" r:id="rId3"/>
    <sheet name="Tray log" sheetId="2" state="visible" r:id="rId4"/>
    <sheet name="Holds" sheetId="3" state="visible" r:id="rId5"/>
    <sheet name="Parameter changes" sheetId="4" state="visible" r:id="rId6"/>
    <sheet name="Batches" sheetId="5" state="visible" r:id="rId7"/>
    <sheet name="Settings" sheetId="6" state="visible" r:id="rId8"/>
    <sheet name="Parts" sheetId="7" state="visible" r:id="rId9"/>
  </sheets>
  <definedNames>
    <definedName function="false" hidden="false" localSheetId="4" name="_xlnm.Print_Titles" vbProcedure="false">Batches!$6:$6</definedName>
    <definedName function="false" hidden="false" localSheetId="1" name="_xlnm.Print_Titles" vbProcedure="false">'Tray log'!$6:$6</definedName>
    <definedName function="false" hidden="true" localSheetId="1" name="_xlnm._FilterDatabase" vbProcedure="false">'Tray log'!$A$6:$AA$306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11" authorId="0">
      <text>
        <r>
          <rPr>
            <sz val="10"/>
            <rFont val="Arial"/>
            <family val="2"/>
          </rPr>
          <t xml:space="preserve">Entry time of the first row of the Tray log. Later trays follow the push time, the push changes in the Push column and the holds, unless an actual entry time is typed.</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Only for a tray that entered off the push cycle (e.g. the first tray after a stop). Later trays follow from this time.</t>
        </r>
      </text>
    </comment>
    <comment ref="D6" authorId="0">
      <text>
        <r>
          <rPr>
            <sz val="10"/>
            <rFont val="Arial"/>
            <family val="2"/>
          </rPr>
          <t xml:space="preserve">The push time in force from this tray on. It repeats the row above; type a new value on the first tray of a push change (also record it on the Parameter changes sheet).</t>
        </r>
      </text>
    </comment>
    <comment ref="X6" authorId="0">
      <text>
        <r>
          <rPr>
            <sz val="10"/>
            <rFont val="Arial"/>
            <family val="2"/>
          </rPr>
          <t xml:space="preserve">line = from the entry of the tray 25 positions later (as on the furnace); estimate = fewer than 25 trays after it in the log, calculated from the push time without holds. Re-check in the next day's workbook.</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J6" authorId="0">
      <text>
        <r>
          <rPr>
            <sz val="10"/>
            <rFont val="Arial"/>
            <family val="2"/>
          </rPr>
          <t xml:space="preserve">Counted from the part 1 column of the tray log (the batch's own trays); a batch only in the second column of mixed trays shows no time.</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H5" authorId="0">
      <text>
        <r>
          <rPr>
            <sz val="10"/>
            <rFont val="Arial"/>
            <family val="2"/>
          </rPr>
          <t xml:space="preserve">HT and normalizing: the fixed transfer from Settings (formula). Isothermal annealing: type the controlled cooling cycle (cooling time + transfers, minutes) over the formula.</t>
        </r>
      </text>
    </comment>
  </commentList>
</comments>
</file>

<file path=xl/sharedStrings.xml><?xml version="1.0" encoding="utf-8"?>
<sst xmlns="http://schemas.openxmlformats.org/spreadsheetml/2006/main" count="492" uniqueCount="231">
  <si>
    <t xml:space="preserve">MASS WIRE AND STEELS PVT. LTD., BHIWADI</t>
  </si>
  <si>
    <t xml:space="preserve">Daily production report: pusher furnace line</t>
  </si>
  <si>
    <t xml:space="preserve">Format MWSPL-F-PROD-01 rev 00 · one workbook per furnace and production day · enter the trays in the Tray log, the pauses of the push cycle in Holds, set-value / push changes in Parameter changes.</t>
  </si>
  <si>
    <t xml:space="preserve">Report identification</t>
  </si>
  <si>
    <t xml:space="preserve">Production in this day (trays out of the tempering chamber)</t>
  </si>
  <si>
    <t xml:space="preserve">Sign-off</t>
  </si>
  <si>
    <t xml:space="preserve">Furnace</t>
  </si>
  <si>
    <t xml:space="preserve">F-02</t>
  </si>
  <si>
    <t xml:space="preserve">Trays out (loaded and mixed)</t>
  </si>
  <si>
    <t xml:space="preserve">Entered by (shift operator)</t>
  </si>
  <si>
    <t xml:space="preserve">A. Kumar (example)</t>
  </si>
  <si>
    <t xml:space="preserve">Production date (day of exit)</t>
  </si>
  <si>
    <t xml:space="preserve">Empty trays out (separators)</t>
  </si>
  <si>
    <t xml:space="preserve">Shift in-charge: shift A</t>
  </si>
  <si>
    <t xml:space="preserve">Production day from</t>
  </si>
  <si>
    <t xml:space="preserve">Pieces out</t>
  </si>
  <si>
    <t xml:space="preserve">Shift in-charge: shift B</t>
  </si>
  <si>
    <t xml:space="preserve">Production day to</t>
  </si>
  <si>
    <t xml:space="preserve">Net weight out (kg, calculated)</t>
  </si>
  <si>
    <t xml:space="preserve">Shift in-charge: shift C</t>
  </si>
  <si>
    <t xml:space="preserve">Report no.</t>
  </si>
  <si>
    <t xml:space="preserve">PR-0001</t>
  </si>
  <si>
    <t xml:space="preserve">  of which hardening &amp; tempering (kg)</t>
  </si>
  <si>
    <t xml:space="preserve">Checked by (Production Manager)</t>
  </si>
  <si>
    <t xml:space="preserve">Line start: first tray of the tray log enters</t>
  </si>
  <si>
    <t xml:space="preserve">  of which isothermal annealing (kg)</t>
  </si>
  <si>
    <t xml:space="preserve">Approved on</t>
  </si>
  <si>
    <t xml:space="preserve">Push time at the start (min)</t>
  </si>
  <si>
    <t xml:space="preserve">  of which normalizing (kg)</t>
  </si>
  <si>
    <t xml:space="preserve">Remarks</t>
  </si>
  <si>
    <t xml:space="preserve">Rework trays out (re-heat-treatment)</t>
  </si>
  <si>
    <t xml:space="preserve">Trays with a check flag</t>
  </si>
  <si>
    <t xml:space="preserve">Push cycle on hold in the day (min)</t>
  </si>
  <si>
    <t xml:space="preserve">Holds still open (no restart time)</t>
  </si>
  <si>
    <t xml:space="preserve">Parameter changes in the day</t>
  </si>
  <si>
    <t xml:space="preserve">Last tray out (calculated)</t>
  </si>
  <si>
    <t xml:space="preserve">Last tray out (actual, from the unloading)</t>
  </si>
  <si>
    <t xml:space="preserve">Difference actual − calculated (min)</t>
  </si>
  <si>
    <t xml:space="preserve">Timing check</t>
  </si>
  <si>
    <t xml:space="preserve">Batches out in this day</t>
  </si>
  <si>
    <t xml:space="preserve">See the Batches sheet: one row per part + batch + heat (rework separately), with trays, pieces and kg out in this day, entry, calculated and actual last tray out, weighed weight.</t>
  </si>
  <si>
    <t xml:space="preserve">How to use this format</t>
  </si>
  <si>
    <t xml:space="preserve">Yellow cells with blue text</t>
  </si>
  <si>
    <t xml:space="preserve">Entries. Type or pick from the drop-down.</t>
  </si>
  <si>
    <t xml:space="preserve">Grey cells with black text</t>
  </si>
  <si>
    <t xml:space="preserve">Formulas: do not type over them (the gap of an isothermal annealing part on the Parts sheet is the one exception).</t>
  </si>
  <si>
    <t xml:space="preserve">Example rows</t>
  </si>
  <si>
    <t xml:space="preserve">Every sheet holds a few example rows (part numbers EX-…, names marked example). Delete them before the first real report.</t>
  </si>
  <si>
    <t xml:space="preserve">1 · Parts</t>
  </si>
  <si>
    <t xml:space="preserve">Copy each part from its process specification in force: process, pieces per tray, part weight, push time, gap between the chambers.</t>
  </si>
  <si>
    <t xml:space="preserve">2 · Report</t>
  </si>
  <si>
    <t xml:space="preserve">Furnace, production date, report no., the time the first tray of the tray log entered and the push time then.</t>
  </si>
  <si>
    <t xml:space="preserve">3 · Tray log</t>
  </si>
  <si>
    <t xml:space="preserve">One row per tray in the order the trays enter the hardening chamber, including empty separator trays. A mixed tray uses the second part columns. Type an actual entry time only for a tray that entered off the push cycle; change the push time on the tray from which it changed.</t>
  </si>
  <si>
    <t xml:space="preserve">4 · Holds</t>
  </si>
  <si>
    <t xml:space="preserve">Every pause of the push cycle (from, to, reason). The push timer stops during a hold: the formulas shift the following trays.</t>
  </si>
  <si>
    <t xml:space="preserve">5 · Parameter changes</t>
  </si>
  <si>
    <t xml:space="preserve">Set value, push, controlled cooling or quench changes with time, from / to and reason.</t>
  </si>
  <si>
    <t xml:space="preserve">6 · Batches</t>
  </si>
  <si>
    <t xml:space="preserve">One row per part + batch + heat; record the actual time the last tray of the batch left the tempering chamber and the weighed weight.</t>
  </si>
  <si>
    <t xml:space="preserve">Line timing</t>
  </si>
  <si>
    <t xml:space="preserve">Out of the hardening chamber = entry of the tray 13 positions later; out of the tempering chamber = entry of the tray 25 positions later + the gap (transfer 18 min for HT / normalizing, the controlled cooling cycle for isothermal annealing). Rows near the end of the log, without 25 trays after them, are estimated from the push time (Basis = estimate).</t>
  </si>
  <si>
    <t xml:space="preserve">Production day</t>
  </si>
  <si>
    <t xml:space="preserve">A tray counts in the day in which it leaves the tempering chamber, from 08:00 to 08:00 the next day, whichever day it was loaded.</t>
  </si>
  <si>
    <t xml:space="preserve">N/A</t>
  </si>
  <si>
    <t xml:space="preserve">"N/A" means not available: type it where a batch, heat or heat code is not known. It is an entry, not an identity: two N/A batches are not the same batch.</t>
  </si>
  <si>
    <t xml:space="preserve">Tray log: one row per tray, in the order the trays enter the hardening chamber</t>
  </si>
  <si>
    <t xml:space="preserve">Empty separator trays are rows too (type Empty). Times are calculated from the line start, the push time and the holds; type an actual entry only for a tray off the cycle.</t>
  </si>
  <si>
    <t xml:space="preserve">Tray
no.</t>
  </si>
  <si>
    <t xml:space="preserve">Tray type</t>
  </si>
  <si>
    <t xml:space="preserve">Actual entry
(only if off cycle)</t>
  </si>
  <si>
    <t xml:space="preserve">Push time
from this tray
(min)</t>
  </si>
  <si>
    <t xml:space="preserve">Entry into
hardening
(calc)</t>
  </si>
  <si>
    <t xml:space="preserve">Part no. 1</t>
  </si>
  <si>
    <t xml:space="preserve">Batch no. 1</t>
  </si>
  <si>
    <t xml:space="preserve">Heat no. 1</t>
  </si>
  <si>
    <t xml:space="preserve">Heat code 1</t>
  </si>
  <si>
    <t xml:space="preserve">Pieces 1</t>
  </si>
  <si>
    <t xml:space="preserve">Part no. 2
(mixed tray)</t>
  </si>
  <si>
    <t xml:space="preserve">Batch no. 2</t>
  </si>
  <si>
    <t xml:space="preserve">Heat no. 2</t>
  </si>
  <si>
    <t xml:space="preserve">Pieces 2</t>
  </si>
  <si>
    <t xml:space="preserve">Process</t>
  </si>
  <si>
    <t xml:space="preserve">Pieces per
tray (spec)</t>
  </si>
  <si>
    <t xml:space="preserve">Tray load
(% of spec)</t>
  </si>
  <si>
    <t xml:space="preserve">Net weight
(kg)</t>
  </si>
  <si>
    <t xml:space="preserve">Rework ref.
(NCR / report)</t>
  </si>
  <si>
    <t xml:space="preserve">Rework reason</t>
  </si>
  <si>
    <t xml:space="preserve">Gap
(min)</t>
  </si>
  <si>
    <t xml:space="preserve">Out of
hardening
(calc)</t>
  </si>
  <si>
    <t xml:space="preserve">Out of
tempering
(calc)</t>
  </si>
  <si>
    <t xml:space="preserve">Basis</t>
  </si>
  <si>
    <t xml:space="preserve">Production
day (exit)</t>
  </si>
  <si>
    <t xml:space="preserve">Note</t>
  </si>
  <si>
    <t xml:space="preserve">Check flags</t>
  </si>
  <si>
    <t xml:space="preserve">Loaded</t>
  </si>
  <si>
    <t xml:space="preserve">EX-1001</t>
  </si>
  <si>
    <t xml:space="preserve">B-102</t>
  </si>
  <si>
    <t xml:space="preserve">H-5521</t>
  </si>
  <si>
    <t xml:space="preserve">C7</t>
  </si>
  <si>
    <t xml:space="preserve">Example rows: delete before use</t>
  </si>
  <si>
    <t xml:space="preserve">Push changed 9 → 10 min (example)</t>
  </si>
  <si>
    <t xml:space="preserve">Empty</t>
  </si>
  <si>
    <t xml:space="preserve">EX-3001</t>
  </si>
  <si>
    <t xml:space="preserve">B-215</t>
  </si>
  <si>
    <t xml:space="preserve">H-5590</t>
  </si>
  <si>
    <t xml:space="preserve">Mixed</t>
  </si>
  <si>
    <t xml:space="preserve">B-216</t>
  </si>
  <si>
    <t xml:space="preserve">H-5591</t>
  </si>
  <si>
    <t xml:space="preserve">EX-2001</t>
  </si>
  <si>
    <t xml:space="preserve">B-330</t>
  </si>
  <si>
    <t xml:space="preserve">H-5602</t>
  </si>
  <si>
    <t xml:space="preserve">G2</t>
  </si>
  <si>
    <t xml:space="preserve">B-103</t>
  </si>
  <si>
    <t xml:space="preserve">NCR-0044</t>
  </si>
  <si>
    <t xml:space="preserve">Re-temper: hardness above 52 HRC</t>
  </si>
  <si>
    <t xml:space="preserve">Push cycle on hold</t>
  </si>
  <si>
    <t xml:space="preserve">Every pause of the push cycle. The push timer stops during the hold: the trays after it enter that much later (Tray log).</t>
  </si>
  <si>
    <t xml:space="preserve">No.</t>
  </si>
  <si>
    <t xml:space="preserve">On hold from</t>
  </si>
  <si>
    <t xml:space="preserve">Restarted at</t>
  </si>
  <si>
    <t xml:space="preserve">Reason</t>
  </si>
  <si>
    <t xml:space="preserve">Reference (alarm record, NCR)</t>
  </si>
  <si>
    <t xml:space="preserve">Duration
(min)</t>
  </si>
  <si>
    <t xml:space="preserve">By</t>
  </si>
  <si>
    <t xml:space="preserve">Quench media out of limits</t>
  </si>
  <si>
    <t xml:space="preserve">OP-0012</t>
  </si>
  <si>
    <t xml:space="preserve">Shift B in-charge (example)</t>
  </si>
  <si>
    <t xml:space="preserve">Oil temperature 82 °C; cooler restarted (example)</t>
  </si>
  <si>
    <t xml:space="preserve">Process parameter changes</t>
  </si>
  <si>
    <t xml:space="preserve">Changes made while trays were in the furnace. A push change is also typed in the Push column of the Tray log, on the first tray it applies to.</t>
  </si>
  <si>
    <t xml:space="preserve">Changed at</t>
  </si>
  <si>
    <t xml:space="preserve">Parameter</t>
  </si>
  <si>
    <t xml:space="preserve">Zone</t>
  </si>
  <si>
    <t xml:space="preserve">From</t>
  </si>
  <si>
    <t xml:space="preserve">To</t>
  </si>
  <si>
    <t xml:space="preserve">Approved by</t>
  </si>
  <si>
    <t xml:space="preserve">Push time</t>
  </si>
  <si>
    <t xml:space="preserve">All zones</t>
  </si>
  <si>
    <t xml:space="preserve">Load of EX-3001 (example)</t>
  </si>
  <si>
    <t xml:space="preserve">HT Manager (example)</t>
  </si>
  <si>
    <t xml:space="preserve">Batches: part + batch + heat (rework separately)</t>
  </si>
  <si>
    <t xml:space="preserve">Trays, pieces and weight are counted from the Tray log (both part columns). Record the actual exit of the last tray and the weighed weight.</t>
  </si>
  <si>
    <t xml:space="preserve">Part no.</t>
  </si>
  <si>
    <t xml:space="preserve">Batch no.</t>
  </si>
  <si>
    <t xml:space="preserve">Heat no.</t>
  </si>
  <si>
    <t xml:space="preserve">Rework?
(Y / blank)</t>
  </si>
  <si>
    <t xml:space="preserve">Trays</t>
  </si>
  <si>
    <t xml:space="preserve">Pieces</t>
  </si>
  <si>
    <t xml:space="preserve">Net weight
calc (kg)</t>
  </si>
  <si>
    <t xml:space="preserve">Pieces out in
the report day</t>
  </si>
  <si>
    <t xml:space="preserve">First tray
entry (calc)</t>
  </si>
  <si>
    <t xml:space="preserve">Last tray out
(calc)</t>
  </si>
  <si>
    <t xml:space="preserve">Last tray out
(actual)</t>
  </si>
  <si>
    <t xml:space="preserve">Difference
(min)</t>
  </si>
  <si>
    <t xml:space="preserve">Weighed
(kg)</t>
  </si>
  <si>
    <t xml:space="preserve">Weighed vs
calc</t>
  </si>
  <si>
    <t xml:space="preserve">Check</t>
  </si>
  <si>
    <t xml:space="preserve">Y</t>
  </si>
  <si>
    <t xml:space="preserve">Settings and lists</t>
  </si>
  <si>
    <t xml:space="preserve">Site rules used by the formulas. Confirm against the process specifications in force; change only with the HT Manager's approval.</t>
  </si>
  <si>
    <t xml:space="preserve">Setting</t>
  </si>
  <si>
    <t xml:space="preserve">Value</t>
  </si>
  <si>
    <t xml:space="preserve">Unit</t>
  </si>
  <si>
    <t xml:space="preserve">Source / note</t>
  </si>
  <si>
    <t xml:space="preserve">Production day starts at</t>
  </si>
  <si>
    <t xml:space="preserve">hh:mm</t>
  </si>
  <si>
    <t xml:space="preserve">Plant rule: a tray counts in the day in which it leaves the tempering chamber, from 08:00 to 08:00 the next day.</t>
  </si>
  <si>
    <t xml:space="preserve">Hardening chamber tray positions</t>
  </si>
  <si>
    <t xml:space="preserve">trays</t>
  </si>
  <si>
    <t xml:space="preserve">Plant layout (5 / 4 / 4 per zone). At each push the 13th tray leaves the hardening chamber.</t>
  </si>
  <si>
    <t xml:space="preserve">Tempering chamber tray positions</t>
  </si>
  <si>
    <t xml:space="preserve">Plant layout (4 / 4 / 4 per zone). Leaves at the push that brings the 26th position.</t>
  </si>
  <si>
    <t xml:space="preserve">Transfer hardening → tempering (HT, normalizing)</t>
  </si>
  <si>
    <t xml:space="preserve">min</t>
  </si>
  <si>
    <t xml:space="preserve">Measured and confirmed: push 9 min, out of hardening 06:03, into tempering 06:21.</t>
  </si>
  <si>
    <t xml:space="preserve">Maximum net load per tray</t>
  </si>
  <si>
    <t xml:space="preserve">kg</t>
  </si>
  <si>
    <t xml:space="preserve">HK-grade cast trays, maximum 200 kg.</t>
  </si>
  <si>
    <t xml:space="preserve">Exit time tolerance (actual vs calculated)</t>
  </si>
  <si>
    <t xml:space="preserve">Site rule: a larger difference means the timing in the report is off (start, push, push changes, holds).</t>
  </si>
  <si>
    <t xml:space="preserve">Drop-down lists (add entries at the end of a column)</t>
  </si>
  <si>
    <t xml:space="preserve">Hold reason</t>
  </si>
  <si>
    <t xml:space="preserve">F-01</t>
  </si>
  <si>
    <t xml:space="preserve">HT</t>
  </si>
  <si>
    <t xml:space="preserve">Zone 1</t>
  </si>
  <si>
    <t xml:space="preserve">IA</t>
  </si>
  <si>
    <t xml:space="preserve">Temperature excursion / alarm</t>
  </si>
  <si>
    <t xml:space="preserve">Hardening set value</t>
  </si>
  <si>
    <t xml:space="preserve">Zone 2</t>
  </si>
  <si>
    <t xml:space="preserve">F-03</t>
  </si>
  <si>
    <t xml:space="preserve">NORM</t>
  </si>
  <si>
    <t xml:space="preserve">Burner / flame failure</t>
  </si>
  <si>
    <t xml:space="preserve">Tempering set value</t>
  </si>
  <si>
    <t xml:space="preserve">Zone 3</t>
  </si>
  <si>
    <t xml:space="preserve">F-04</t>
  </si>
  <si>
    <t xml:space="preserve">Power failure</t>
  </si>
  <si>
    <t xml:space="preserve">Controlled cooling</t>
  </si>
  <si>
    <t xml:space="preserve">Pusher / extractor breakdown</t>
  </si>
  <si>
    <t xml:space="preserve">Quench (temperature / agitation)</t>
  </si>
  <si>
    <t xml:space="preserve">Controlled cooling fault</t>
  </si>
  <si>
    <t xml:space="preserve">Dip time</t>
  </si>
  <si>
    <t xml:space="preserve">Material not available</t>
  </si>
  <si>
    <t xml:space="preserve">Other</t>
  </si>
  <si>
    <t xml:space="preserve">Planned stop / maintenance</t>
  </si>
  <si>
    <t xml:space="preserve">Parts and specifications in force</t>
  </si>
  <si>
    <t xml:space="preserve">One row per part: copy from the process specification in force (MWSPL-QP-SPEC-01). The tray log and the batches look the values up by part number.</t>
  </si>
  <si>
    <t xml:space="preserve">Part name</t>
  </si>
  <si>
    <t xml:space="preserve">Process
(HT / IA / NORM)</t>
  </si>
  <si>
    <t xml:space="preserve">Specification
(no. / rev)</t>
  </si>
  <si>
    <t xml:space="preserve">Pieces per
tray</t>
  </si>
  <si>
    <t xml:space="preserve">Part weight
(kg)</t>
  </si>
  <si>
    <t xml:space="preserve">Push time
(min)</t>
  </si>
  <si>
    <t xml:space="preserve">Gap hardening →
tempering (min)</t>
  </si>
  <si>
    <t xml:space="preserve">Hardening set
Z1 / Z2 / Z3 (°C)</t>
  </si>
  <si>
    <t xml:space="preserve">Tempering set
Z1 / Z2 / Z3 (°C)</t>
  </si>
  <si>
    <t xml:space="preserve">Example shaft</t>
  </si>
  <si>
    <t xml:space="preserve">PS-0001 rev 1</t>
  </si>
  <si>
    <t xml:space="preserve">840 / 870 / 870</t>
  </si>
  <si>
    <t xml:space="preserve">560 / 580 / 580</t>
  </si>
  <si>
    <t xml:space="preserve">Example: oil quench on F-02.</t>
  </si>
  <si>
    <t xml:space="preserve">Example gear blank</t>
  </si>
  <si>
    <t xml:space="preserve">PS-0002 rev 0</t>
  </si>
  <si>
    <t xml:space="preserve">880 / 920 / 920</t>
  </si>
  <si>
    <t xml:space="preserve">640 / 650 / 650</t>
  </si>
  <si>
    <t xml:space="preserve">Example: controlled cooling cycle 7 min (cooling + transfers) within the push.</t>
  </si>
  <si>
    <t xml:space="preserve">Example flange</t>
  </si>
  <si>
    <t xml:space="preserve">PS-0003 rev 0</t>
  </si>
  <si>
    <t xml:space="preserve">720 / 740 / 740</t>
  </si>
  <si>
    <t xml:space="preserve">880 / 900 / 900</t>
  </si>
  <si>
    <t xml:space="preserve">Example: preheat in the hardening chamber, austenitize in the tempering chamber.</t>
  </si>
</sst>
</file>

<file path=xl/styles.xml><?xml version="1.0" encoding="utf-8"?>
<styleSheet xmlns="http://schemas.openxmlformats.org/spreadsheetml/2006/main">
  <numFmts count="11">
    <numFmt numFmtId="164" formatCode="General"/>
    <numFmt numFmtId="165" formatCode="0"/>
    <numFmt numFmtId="166" formatCode="dd\-mmm\-yyyy"/>
    <numFmt numFmtId="167" formatCode="dd\-mmm\-yy\ hh:mm"/>
    <numFmt numFmtId="168" formatCode="#,##0"/>
    <numFmt numFmtId="169" formatCode="General"/>
    <numFmt numFmtId="170" formatCode="0%"/>
    <numFmt numFmtId="171" formatCode="#,##0.0"/>
    <numFmt numFmtId="172" formatCode="0.0%"/>
    <numFmt numFmtId="173" formatCode="hh:mm"/>
    <numFmt numFmtId="174" formatCode="0.0"/>
  </numFmts>
  <fonts count="12">
    <font>
      <sz val="11"/>
      <color theme="1"/>
      <name val="Calibri"/>
      <family val="2"/>
      <charset val="1"/>
    </font>
    <font>
      <sz val="10"/>
      <name val="Arial"/>
      <family val="0"/>
    </font>
    <font>
      <sz val="10"/>
      <name val="Arial"/>
      <family val="0"/>
    </font>
    <font>
      <sz val="10"/>
      <name val="Arial"/>
      <family val="0"/>
    </font>
    <font>
      <b val="true"/>
      <sz val="9"/>
      <color rgb="FF595959"/>
      <name val="Arial"/>
      <family val="0"/>
      <charset val="1"/>
    </font>
    <font>
      <b val="true"/>
      <sz val="14"/>
      <name val="Arial"/>
      <family val="0"/>
      <charset val="1"/>
    </font>
    <font>
      <i val="true"/>
      <sz val="8"/>
      <color rgb="FF595959"/>
      <name val="Arial"/>
      <family val="0"/>
      <charset val="1"/>
    </font>
    <font>
      <b val="true"/>
      <sz val="9"/>
      <name val="Arial"/>
      <family val="0"/>
      <charset val="1"/>
    </font>
    <font>
      <sz val="9"/>
      <color rgb="FF0000FF"/>
      <name val="Arial"/>
      <family val="0"/>
      <charset val="1"/>
    </font>
    <font>
      <sz val="9"/>
      <name val="Arial"/>
      <family val="0"/>
      <charset val="1"/>
    </font>
    <font>
      <sz val="10"/>
      <name val="Arial"/>
      <family val="2"/>
    </font>
    <font>
      <b val="true"/>
      <sz val="9"/>
      <color rgb="FFFFFFFF"/>
      <name val="Arial"/>
      <family val="0"/>
      <charset val="1"/>
    </font>
  </fonts>
  <fills count="6">
    <fill>
      <patternFill patternType="none"/>
    </fill>
    <fill>
      <patternFill patternType="gray125"/>
    </fill>
    <fill>
      <patternFill patternType="solid">
        <fgColor rgb="FFDCE6EA"/>
        <bgColor rgb="FFEEF2F0"/>
      </patternFill>
    </fill>
    <fill>
      <patternFill patternType="solid">
        <fgColor rgb="FFFFF7CC"/>
        <bgColor rgb="FFEEF2F0"/>
      </patternFill>
    </fill>
    <fill>
      <patternFill patternType="solid">
        <fgColor rgb="FFEEF2F0"/>
        <bgColor rgb="FFDCE6EA"/>
      </patternFill>
    </fill>
    <fill>
      <patternFill patternType="solid">
        <fgColor rgb="FF1D5B78"/>
        <bgColor rgb="FF008080"/>
      </patternFill>
    </fill>
  </fills>
  <borders count="3">
    <border diagonalUp="false" diagonalDown="false">
      <left/>
      <right/>
      <top/>
      <bottom/>
      <diagonal/>
    </border>
    <border diagonalUp="false" diagonalDown="false">
      <left style="thin">
        <color rgb="FFBFC7C3"/>
      </left>
      <right style="thin">
        <color rgb="FFBFC7C3"/>
      </right>
      <top style="thin">
        <color rgb="FFBFC7C3"/>
      </top>
      <bottom style="thin">
        <color rgb="FFBFC7C3"/>
      </bottom>
      <diagonal/>
    </border>
    <border diagonalUp="false" diagonalDown="false">
      <left style="thin">
        <color rgb="FFBFC7C3"/>
      </left>
      <right/>
      <top style="thin">
        <color rgb="FFBFC7C3"/>
      </top>
      <bottom style="thin">
        <color rgb="FFBFC7C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5" fontId="9" fillId="4" borderId="1" xfId="0" applyFont="true" applyBorder="true" applyAlignment="true" applyProtection="false">
      <alignment horizontal="general" vertical="top" textRotation="0" wrapText="false" indent="0" shrinkToFit="false"/>
      <protection locked="true" hidden="false"/>
    </xf>
    <xf numFmtId="166" fontId="8" fillId="3" borderId="1" xfId="0" applyFont="true" applyBorder="true" applyAlignment="true" applyProtection="false">
      <alignment horizontal="general" vertical="top" textRotation="0" wrapText="false" indent="0" shrinkToFit="false"/>
      <protection locked="true" hidden="false"/>
    </xf>
    <xf numFmtId="167" fontId="9" fillId="4" borderId="1" xfId="0" applyFont="true" applyBorder="true" applyAlignment="true" applyProtection="false">
      <alignment horizontal="general" vertical="top" textRotation="0" wrapText="false" indent="0" shrinkToFit="false"/>
      <protection locked="true" hidden="false"/>
    </xf>
    <xf numFmtId="168" fontId="9" fillId="4" borderId="1" xfId="0" applyFont="true" applyBorder="true" applyAlignment="true" applyProtection="false">
      <alignment horizontal="general" vertical="top" textRotation="0" wrapText="false" indent="0" shrinkToFit="false"/>
      <protection locked="true" hidden="false"/>
    </xf>
    <xf numFmtId="167" fontId="8" fillId="3" borderId="1" xfId="0" applyFont="true" applyBorder="true" applyAlignment="true" applyProtection="false">
      <alignment horizontal="general" vertical="top" textRotation="0" wrapText="false" indent="0" shrinkToFit="false"/>
      <protection locked="true" hidden="false"/>
    </xf>
    <xf numFmtId="165" fontId="8" fillId="3"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9" fontId="9" fillId="4"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71" fontId="9"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72" fontId="9" fillId="4" borderId="1" xfId="0" applyFont="true" applyBorder="true" applyAlignment="false" applyProtection="false">
      <alignment horizontal="general" vertical="bottom" textRotation="0" wrapText="false" indent="0" shrinkToFit="false"/>
      <protection locked="true" hidden="false"/>
    </xf>
    <xf numFmtId="173" fontId="8" fillId="3"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4" fontId="8" fillId="3"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D5B78"/>
          <bgColor rgb="FF000000"/>
        </patternFill>
      </fill>
    </dxf>
    <dxf>
      <fill>
        <patternFill patternType="solid">
          <fgColor rgb="FFEEF2F0"/>
          <bgColor rgb="FF000000"/>
        </patternFill>
      </fill>
    </dxf>
    <dxf>
      <fill>
        <patternFill patternType="solid">
          <fgColor rgb="FF808080"/>
          <bgColor rgb="FF000000"/>
        </patternFill>
      </fill>
    </dxf>
    <dxf>
      <fill>
        <patternFill patternType="solid">
          <fgColor rgb="FFFFFFFF"/>
          <bgColor rgb="FF000000"/>
        </patternFill>
      </fill>
    </dxf>
    <dxf>
      <fill>
        <patternFill patternType="solid">
          <bgColor rgb="FF000000"/>
        </patternFill>
      </fill>
    </dxf>
    <dxf>
      <fill>
        <patternFill patternType="solid">
          <fgColor rgb="FFFFF7CC"/>
          <bgColor rgb="FF000000"/>
        </patternFill>
      </fill>
    </dxf>
    <dxf>
      <fill>
        <patternFill patternType="solid">
          <fgColor rgb="FF0000FF"/>
          <bgColor rgb="FF000000"/>
        </patternFill>
      </fill>
    </dxf>
    <dxf>
      <fill>
        <patternFill>
          <bgColor rgb="FFFBE3D6"/>
        </patternFill>
      </fill>
    </dxf>
    <dxf>
      <font>
        <name val="Arial"/>
        <charset val="1"/>
        <family val="0"/>
        <i val="1"/>
        <color rgb="FF808080"/>
        <sz val="9"/>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D5B78"/>
      <rgbColor rgb="FFBFC7C3"/>
      <rgbColor rgb="FF808080"/>
      <rgbColor rgb="FF9999FF"/>
      <rgbColor rgb="FF993366"/>
      <rgbColor rgb="FFFFF7CC"/>
      <rgbColor rgb="FFEEF2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EA"/>
      <rgbColor rgb="FFCCFFCC"/>
      <rgbColor rgb="FFFFFF99"/>
      <rgbColor rgb="FF99CCFF"/>
      <rgbColor rgb="FFFF99CC"/>
      <rgbColor rgb="FFCC99FF"/>
      <rgbColor rgb="FFFBE3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4"/>
    <col collapsed="false" customWidth="true" hidden="false" outlineLevel="0" max="4" min="4" style="0" width="30"/>
    <col collapsed="false" customWidth="true" hidden="false" outlineLevel="0" max="5" min="5" style="0" width="22"/>
    <col collapsed="false" customWidth="true" hidden="false" outlineLevel="0" max="6" min="6" style="0" width="4"/>
    <col collapsed="false" customWidth="true" hidden="false" outlineLevel="0" max="7" min="7" style="0" width="26"/>
    <col collapsed="false" customWidth="true" hidden="false" outlineLevel="0" max="8" min="8" style="0" width="24"/>
  </cols>
  <sheetData>
    <row r="1" customFormat="false" ht="15" hidden="false" customHeight="false" outlineLevel="0" collapsed="false">
      <c r="A1" s="1" t="s">
        <v>0</v>
      </c>
    </row>
    <row r="2" customFormat="false" ht="17.3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D5" s="4" t="s">
        <v>4</v>
      </c>
      <c r="G5" s="4" t="s">
        <v>5</v>
      </c>
    </row>
    <row r="6" customFormat="false" ht="15" hidden="false" customHeight="false" outlineLevel="0" collapsed="false">
      <c r="A6" s="5" t="s">
        <v>6</v>
      </c>
      <c r="B6" s="6" t="s">
        <v>7</v>
      </c>
      <c r="D6" s="7" t="s">
        <v>8</v>
      </c>
      <c r="E6" s="8" t="n">
        <f aca="false">COUNTIFS('Tray log'!$Y$7:$Y$306,$B$7,'Tray log'!$B$7:$B$306,"Loaded")+COUNTIFS('Tray log'!$Y$7:$Y$306,$B$7,'Tray log'!$B$7:$B$306,"Mixed")</f>
        <v>43</v>
      </c>
      <c r="G6" s="7" t="s">
        <v>9</v>
      </c>
      <c r="H6" s="6" t="s">
        <v>10</v>
      </c>
    </row>
    <row r="7" customFormat="false" ht="15" hidden="false" customHeight="false" outlineLevel="0" collapsed="false">
      <c r="A7" s="5" t="s">
        <v>11</v>
      </c>
      <c r="B7" s="9" t="n">
        <v>46320</v>
      </c>
      <c r="D7" s="7" t="s">
        <v>12</v>
      </c>
      <c r="E7" s="8" t="n">
        <f aca="false">COUNTIFS('Tray log'!$Y$7:$Y$306,$B$7,'Tray log'!$B$7:$B$306,"Empty")</f>
        <v>2</v>
      </c>
      <c r="G7" s="7" t="s">
        <v>13</v>
      </c>
      <c r="H7" s="6"/>
    </row>
    <row r="8" customFormat="false" ht="15" hidden="false" customHeight="false" outlineLevel="0" collapsed="false">
      <c r="A8" s="5" t="s">
        <v>14</v>
      </c>
      <c r="B8" s="10" t="n">
        <f aca="false">B7+Settings!$B$6</f>
        <v>46320.3333333333</v>
      </c>
      <c r="D8" s="7" t="s">
        <v>15</v>
      </c>
      <c r="E8" s="11" t="n">
        <f aca="false">SUMIFS('Tray log'!$J$7:$J$306,'Tray log'!$Y$7:$Y$306,$B$7)+SUMIFS('Tray log'!$N$7:$N$306,'Tray log'!$Y$7:$Y$306,$B$7)</f>
        <v>1731</v>
      </c>
      <c r="G8" s="7" t="s">
        <v>16</v>
      </c>
      <c r="H8" s="6"/>
    </row>
    <row r="9" customFormat="false" ht="15" hidden="false" customHeight="false" outlineLevel="0" collapsed="false">
      <c r="A9" s="5" t="s">
        <v>17</v>
      </c>
      <c r="B9" s="10" t="n">
        <f aca="false">B8+1</f>
        <v>46321.3333333333</v>
      </c>
      <c r="D9" s="7" t="s">
        <v>18</v>
      </c>
      <c r="E9" s="11" t="n">
        <f aca="false">SUMIFS('Tray log'!$R$7:$R$306,'Tray log'!$Y$7:$Y$306,$B$7)</f>
        <v>3875.4</v>
      </c>
      <c r="G9" s="7" t="s">
        <v>19</v>
      </c>
      <c r="H9" s="6"/>
    </row>
    <row r="10" customFormat="false" ht="15" hidden="false" customHeight="false" outlineLevel="0" collapsed="false">
      <c r="A10" s="5" t="s">
        <v>20</v>
      </c>
      <c r="B10" s="6" t="s">
        <v>21</v>
      </c>
      <c r="D10" s="7" t="s">
        <v>22</v>
      </c>
      <c r="E10" s="11" t="n">
        <f aca="false">SUMIFS('Tray log'!$R$7:$R$306,'Tray log'!$Y$7:$Y$306,$B$7,'Tray log'!$O$7:$O$306,"HT")</f>
        <v>1944</v>
      </c>
      <c r="G10" s="7" t="s">
        <v>23</v>
      </c>
      <c r="H10" s="6"/>
    </row>
    <row r="11" customFormat="false" ht="15" hidden="false" customHeight="false" outlineLevel="0" collapsed="false">
      <c r="A11" s="5" t="s">
        <v>24</v>
      </c>
      <c r="B11" s="12" t="n">
        <v>46320.25</v>
      </c>
      <c r="D11" s="7" t="s">
        <v>25</v>
      </c>
      <c r="E11" s="11" t="n">
        <f aca="false">SUMIFS('Tray log'!$R$7:$R$306,'Tray log'!$Y$7:$Y$306,$B$7,'Tray log'!$O$7:$O$306,"IA")</f>
        <v>1344</v>
      </c>
      <c r="G11" s="7" t="s">
        <v>26</v>
      </c>
      <c r="H11" s="9"/>
    </row>
    <row r="12" customFormat="false" ht="15" hidden="false" customHeight="false" outlineLevel="0" collapsed="false">
      <c r="A12" s="5" t="s">
        <v>27</v>
      </c>
      <c r="B12" s="13" t="n">
        <v>9</v>
      </c>
      <c r="D12" s="7" t="s">
        <v>28</v>
      </c>
      <c r="E12" s="11" t="n">
        <f aca="false">SUMIFS('Tray log'!$R$7:$R$306,'Tray log'!$Y$7:$Y$306,$B$7,'Tray log'!$O$7:$O$306,"NORM")</f>
        <v>587.4</v>
      </c>
      <c r="G12" s="7" t="s">
        <v>29</v>
      </c>
      <c r="H12" s="6"/>
    </row>
    <row r="13" customFormat="false" ht="15" hidden="false" customHeight="false" outlineLevel="0" collapsed="false">
      <c r="D13" s="7" t="s">
        <v>30</v>
      </c>
      <c r="E13" s="8" t="n">
        <f aca="false">COUNTIFS('Tray log'!$Y$7:$Y$306,$B$7,'Tray log'!$S$7:$S$306,"?*")</f>
        <v>4</v>
      </c>
    </row>
    <row r="14" customFormat="false" ht="15" hidden="false" customHeight="false" outlineLevel="0" collapsed="false">
      <c r="D14" s="7" t="s">
        <v>31</v>
      </c>
      <c r="E14" s="8" t="n">
        <f aca="false">COUNTIFS('Tray log'!$Y$7:$Y$306,$B$7,'Tray log'!$AA$7:$AA$306,"?*")</f>
        <v>0</v>
      </c>
    </row>
    <row r="15" customFormat="false" ht="15" hidden="false" customHeight="false" outlineLevel="0" collapsed="false">
      <c r="D15" s="7" t="s">
        <v>32</v>
      </c>
      <c r="E15" s="8" t="n">
        <f aca="false">SUMIFS(Holds!$F$7:$F$46,Holds!$B$7:$B$46,"&gt;="&amp;$B$8,Holds!$B$7:$B$46,"&lt;"&amp;$B$9)</f>
        <v>40</v>
      </c>
    </row>
    <row r="16" customFormat="false" ht="15" hidden="false" customHeight="false" outlineLevel="0" collapsed="false">
      <c r="D16" s="7" t="s">
        <v>33</v>
      </c>
      <c r="E16" s="8" t="n">
        <f aca="false">COUNTIFS(Holds!$B$7:$B$46,"&lt;&gt;",Holds!$C$7:$C$46,"")</f>
        <v>0</v>
      </c>
    </row>
    <row r="17" customFormat="false" ht="15" hidden="false" customHeight="false" outlineLevel="0" collapsed="false">
      <c r="D17" s="7" t="s">
        <v>34</v>
      </c>
      <c r="E17" s="8" t="n">
        <f aca="false">COUNTIFS('Parameter changes'!$B$7:$B$46,"&gt;="&amp;$B$8,'Parameter changes'!$B$7:$B$46,"&lt;"&amp;$B$9)</f>
        <v>1</v>
      </c>
    </row>
    <row r="18" customFormat="false" ht="15" hidden="false" customHeight="false" outlineLevel="0" collapsed="false">
      <c r="D18" s="7" t="s">
        <v>35</v>
      </c>
      <c r="E18" s="10" t="n">
        <f aca="false">IF(B6="","",_xlfn.MAXIFS('Tray log'!$W$7:$W$306,'Tray log'!$Y$7:$Y$306,$B$7))</f>
        <v>46320.7631944444</v>
      </c>
    </row>
    <row r="19" customFormat="false" ht="15" hidden="false" customHeight="false" outlineLevel="0" collapsed="false">
      <c r="D19" s="7" t="s">
        <v>36</v>
      </c>
      <c r="E19" s="12" t="n">
        <v>46320.7652777778</v>
      </c>
    </row>
    <row r="20" customFormat="false" ht="15" hidden="false" customHeight="false" outlineLevel="0" collapsed="false">
      <c r="D20" s="7" t="s">
        <v>37</v>
      </c>
      <c r="E20" s="8" t="n">
        <f aca="false">IF(OR(E19="",E18="",E18=0),"",ROUND((E19-E18)*1440,0))</f>
        <v>3</v>
      </c>
    </row>
    <row r="21" customFormat="false" ht="15" hidden="false" customHeight="false" outlineLevel="0" collapsed="false">
      <c r="D21" s="7" t="s">
        <v>38</v>
      </c>
      <c r="E21" s="14" t="str">
        <f aca="false">IF(E20="","",IF(ABS(E20)&lt;=Settings!$B$11,"OK","Check start, push, push changes, holds"))</f>
        <v>OK</v>
      </c>
    </row>
    <row r="23" customFormat="false" ht="15" hidden="false" customHeight="false" outlineLevel="0" collapsed="false">
      <c r="A23" s="4" t="s">
        <v>39</v>
      </c>
    </row>
    <row r="24" customFormat="false" ht="15" hidden="false" customHeight="false" outlineLevel="0" collapsed="false">
      <c r="A24" s="3" t="s">
        <v>40</v>
      </c>
    </row>
    <row r="26" customFormat="false" ht="15" hidden="false" customHeight="false" outlineLevel="0" collapsed="false">
      <c r="A26" s="4" t="s">
        <v>41</v>
      </c>
    </row>
    <row r="27" customFormat="false" ht="30" hidden="false" customHeight="true" outlineLevel="0" collapsed="false">
      <c r="A27" s="15" t="s">
        <v>42</v>
      </c>
      <c r="B27" s="16" t="s">
        <v>43</v>
      </c>
      <c r="C27" s="16"/>
      <c r="D27" s="16"/>
      <c r="E27" s="16"/>
      <c r="F27" s="16"/>
      <c r="G27" s="16"/>
      <c r="H27" s="16"/>
    </row>
    <row r="28" customFormat="false" ht="30" hidden="false" customHeight="true" outlineLevel="0" collapsed="false">
      <c r="A28" s="15" t="s">
        <v>44</v>
      </c>
      <c r="B28" s="16" t="s">
        <v>45</v>
      </c>
      <c r="C28" s="16"/>
      <c r="D28" s="16"/>
      <c r="E28" s="16"/>
      <c r="F28" s="16"/>
      <c r="G28" s="16"/>
      <c r="H28" s="16"/>
    </row>
    <row r="29" customFormat="false" ht="30" hidden="false" customHeight="true" outlineLevel="0" collapsed="false">
      <c r="A29" s="15" t="s">
        <v>46</v>
      </c>
      <c r="B29" s="16" t="s">
        <v>47</v>
      </c>
      <c r="C29" s="16"/>
      <c r="D29" s="16"/>
      <c r="E29" s="16"/>
      <c r="F29" s="16"/>
      <c r="G29" s="16"/>
      <c r="H29" s="16"/>
    </row>
    <row r="30" customFormat="false" ht="30" hidden="false" customHeight="true" outlineLevel="0" collapsed="false">
      <c r="A30" s="15" t="s">
        <v>48</v>
      </c>
      <c r="B30" s="16" t="s">
        <v>49</v>
      </c>
      <c r="C30" s="16"/>
      <c r="D30" s="16"/>
      <c r="E30" s="16"/>
      <c r="F30" s="16"/>
      <c r="G30" s="16"/>
      <c r="H30" s="16"/>
    </row>
    <row r="31" customFormat="false" ht="30" hidden="false" customHeight="true" outlineLevel="0" collapsed="false">
      <c r="A31" s="15" t="s">
        <v>50</v>
      </c>
      <c r="B31" s="16" t="s">
        <v>51</v>
      </c>
      <c r="C31" s="16"/>
      <c r="D31" s="16"/>
      <c r="E31" s="16"/>
      <c r="F31" s="16"/>
      <c r="G31" s="16"/>
      <c r="H31" s="16"/>
    </row>
    <row r="32" customFormat="false" ht="43.5" hidden="false" customHeight="true" outlineLevel="0" collapsed="false">
      <c r="A32" s="15" t="s">
        <v>52</v>
      </c>
      <c r="B32" s="16" t="s">
        <v>53</v>
      </c>
      <c r="C32" s="16"/>
      <c r="D32" s="16"/>
      <c r="E32" s="16"/>
      <c r="F32" s="16"/>
      <c r="G32" s="16"/>
      <c r="H32" s="16"/>
    </row>
    <row r="33" customFormat="false" ht="30" hidden="false" customHeight="true" outlineLevel="0" collapsed="false">
      <c r="A33" s="15" t="s">
        <v>54</v>
      </c>
      <c r="B33" s="16" t="s">
        <v>55</v>
      </c>
      <c r="C33" s="16"/>
      <c r="D33" s="16"/>
      <c r="E33" s="16"/>
      <c r="F33" s="16"/>
      <c r="G33" s="16"/>
      <c r="H33" s="16"/>
    </row>
    <row r="34" customFormat="false" ht="30" hidden="false" customHeight="true" outlineLevel="0" collapsed="false">
      <c r="A34" s="15" t="s">
        <v>56</v>
      </c>
      <c r="B34" s="16" t="s">
        <v>57</v>
      </c>
      <c r="C34" s="16"/>
      <c r="D34" s="16"/>
      <c r="E34" s="16"/>
      <c r="F34" s="16"/>
      <c r="G34" s="16"/>
      <c r="H34" s="16"/>
    </row>
    <row r="35" customFormat="false" ht="30" hidden="false" customHeight="true" outlineLevel="0" collapsed="false">
      <c r="A35" s="15" t="s">
        <v>58</v>
      </c>
      <c r="B35" s="16" t="s">
        <v>59</v>
      </c>
      <c r="C35" s="16"/>
      <c r="D35" s="16"/>
      <c r="E35" s="16"/>
      <c r="F35" s="16"/>
      <c r="G35" s="16"/>
      <c r="H35" s="16"/>
    </row>
    <row r="36" customFormat="false" ht="43.5" hidden="false" customHeight="true" outlineLevel="0" collapsed="false">
      <c r="A36" s="15" t="s">
        <v>60</v>
      </c>
      <c r="B36" s="16" t="s">
        <v>61</v>
      </c>
      <c r="C36" s="16"/>
      <c r="D36" s="16"/>
      <c r="E36" s="16"/>
      <c r="F36" s="16"/>
      <c r="G36" s="16"/>
      <c r="H36" s="16"/>
    </row>
    <row r="37" customFormat="false" ht="30" hidden="false" customHeight="true" outlineLevel="0" collapsed="false">
      <c r="A37" s="15" t="s">
        <v>62</v>
      </c>
      <c r="B37" s="16" t="s">
        <v>63</v>
      </c>
      <c r="C37" s="16"/>
      <c r="D37" s="16"/>
      <c r="E37" s="16"/>
      <c r="F37" s="16"/>
      <c r="G37" s="16"/>
      <c r="H37" s="16"/>
    </row>
    <row r="38" customFormat="false" ht="43.5" hidden="false" customHeight="true" outlineLevel="0" collapsed="false">
      <c r="A38" s="15" t="s">
        <v>64</v>
      </c>
      <c r="B38" s="16" t="s">
        <v>65</v>
      </c>
      <c r="C38" s="16"/>
      <c r="D38" s="16"/>
      <c r="E38" s="16"/>
      <c r="F38" s="16"/>
      <c r="G38" s="16"/>
      <c r="H38" s="16"/>
    </row>
  </sheetData>
  <mergeCells count="12">
    <mergeCell ref="B27:H27"/>
    <mergeCell ref="B28:H28"/>
    <mergeCell ref="B29:H29"/>
    <mergeCell ref="B30:H30"/>
    <mergeCell ref="B31:H31"/>
    <mergeCell ref="B32:H32"/>
    <mergeCell ref="B33:H33"/>
    <mergeCell ref="B34:H34"/>
    <mergeCell ref="B35:H35"/>
    <mergeCell ref="B36:H36"/>
    <mergeCell ref="B37:H37"/>
    <mergeCell ref="B38:H38"/>
  </mergeCells>
  <dataValidations count="1">
    <dataValidation allowBlank="true" errorStyle="stop" operator="between" showDropDown="false" showErrorMessage="false" showInputMessage="false" sqref="B6" type="list">
      <formula1>Settings!$A$15:$A$34</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&amp;LMWSPL-F-PROD-01 rev 00&amp;RPage &amp;P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3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6" topLeftCell="F7" activePane="bottomRight" state="frozen"/>
      <selection pane="topLeft" activeCell="A1" activeCellId="0" sqref="A1"/>
      <selection pane="topRight" activeCell="F1" activeCellId="0" sqref="F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5"/>
    <col collapsed="false" customWidth="true" hidden="false" outlineLevel="0" max="4" min="4" style="0" width="9"/>
    <col collapsed="false" customWidth="true" hidden="false" outlineLevel="0" max="5" min="5" style="0" width="14"/>
    <col collapsed="false" customWidth="true" hidden="false" outlineLevel="0" max="6" min="6" style="0" width="11"/>
    <col collapsed="false" customWidth="true" hidden="false" outlineLevel="0" max="8" min="7" style="0" width="10"/>
    <col collapsed="false" customWidth="true" hidden="false" outlineLevel="0" max="9" min="9" style="0" width="9"/>
    <col collapsed="false" customWidth="true" hidden="false" outlineLevel="0" max="10" min="10" style="0" width="7"/>
    <col collapsed="false" customWidth="true" hidden="false" outlineLevel="0" max="11" min="11" style="0" width="11"/>
    <col collapsed="false" customWidth="true" hidden="false" outlineLevel="0" max="13" min="12" style="0" width="10"/>
    <col collapsed="false" customWidth="true" hidden="false" outlineLevel="0" max="14" min="14" style="0" width="7"/>
    <col collapsed="false" customWidth="true" hidden="false" outlineLevel="0" max="15" min="15" style="0" width="8"/>
    <col collapsed="false" customWidth="true" hidden="false" outlineLevel="0" max="18" min="16" style="0" width="9"/>
    <col collapsed="false" customWidth="true" hidden="false" outlineLevel="0" max="19" min="19" style="0" width="13"/>
    <col collapsed="false" customWidth="true" hidden="false" outlineLevel="0" max="20" min="20" style="0" width="16"/>
    <col collapsed="false" customWidth="true" hidden="false" outlineLevel="0" max="21" min="21" style="0" width="7"/>
    <col collapsed="false" customWidth="true" hidden="false" outlineLevel="0" max="23" min="22" style="0" width="14"/>
    <col collapsed="false" customWidth="true" hidden="false" outlineLevel="0" max="24" min="24" style="0" width="8"/>
    <col collapsed="false" customWidth="true" hidden="false" outlineLevel="0" max="25" min="25" style="0" width="11"/>
    <col collapsed="false" customWidth="true" hidden="false" outlineLevel="0" max="26" min="26" style="0" width="20"/>
    <col collapsed="false" customWidth="true" hidden="false" outlineLevel="0" max="27" min="27" style="0" width="34"/>
  </cols>
  <sheetData>
    <row r="1" customFormat="false" ht="15" hidden="false" customHeight="false" outlineLevel="0" collapsed="false">
      <c r="A1" s="1" t="s">
        <v>0</v>
      </c>
    </row>
    <row r="2" customFormat="false" ht="17.35" hidden="false" customHeight="false" outlineLevel="0" collapsed="false">
      <c r="A2" s="2" t="s">
        <v>66</v>
      </c>
    </row>
    <row r="3" customFormat="false" ht="15" hidden="false" customHeight="false" outlineLevel="0" collapsed="false">
      <c r="A3" s="3" t="s">
        <v>67</v>
      </c>
    </row>
    <row r="6" customFormat="false" ht="48" hidden="false" customHeight="true" outlineLevel="0" collapsed="false">
      <c r="A6" s="17" t="s">
        <v>68</v>
      </c>
      <c r="B6" s="17" t="s">
        <v>69</v>
      </c>
      <c r="C6" s="17" t="s">
        <v>70</v>
      </c>
      <c r="D6" s="17" t="s">
        <v>71</v>
      </c>
      <c r="E6" s="17" t="s">
        <v>72</v>
      </c>
      <c r="F6" s="17" t="s">
        <v>73</v>
      </c>
      <c r="G6" s="17" t="s">
        <v>74</v>
      </c>
      <c r="H6" s="17" t="s">
        <v>75</v>
      </c>
      <c r="I6" s="17" t="s">
        <v>76</v>
      </c>
      <c r="J6" s="17" t="s">
        <v>77</v>
      </c>
      <c r="K6" s="17" t="s">
        <v>78</v>
      </c>
      <c r="L6" s="17" t="s">
        <v>79</v>
      </c>
      <c r="M6" s="17" t="s">
        <v>80</v>
      </c>
      <c r="N6" s="17" t="s">
        <v>81</v>
      </c>
      <c r="O6" s="17" t="s">
        <v>82</v>
      </c>
      <c r="P6" s="17" t="s">
        <v>83</v>
      </c>
      <c r="Q6" s="17" t="s">
        <v>84</v>
      </c>
      <c r="R6" s="17" t="s">
        <v>85</v>
      </c>
      <c r="S6" s="17" t="s">
        <v>86</v>
      </c>
      <c r="T6" s="17" t="s">
        <v>87</v>
      </c>
      <c r="U6" s="17" t="s">
        <v>88</v>
      </c>
      <c r="V6" s="17" t="s">
        <v>89</v>
      </c>
      <c r="W6" s="17" t="s">
        <v>90</v>
      </c>
      <c r="X6" s="17" t="s">
        <v>91</v>
      </c>
      <c r="Y6" s="17" t="s">
        <v>92</v>
      </c>
      <c r="Z6" s="17" t="s">
        <v>93</v>
      </c>
      <c r="AA6" s="17" t="s">
        <v>94</v>
      </c>
    </row>
    <row r="7" customFormat="false" ht="15" hidden="false" customHeight="false" outlineLevel="0" collapsed="false">
      <c r="A7" s="18" t="n">
        <f aca="false">IF(B7="","",COUNTA(B$7:B7))</f>
        <v>1</v>
      </c>
      <c r="B7" s="19" t="s">
        <v>95</v>
      </c>
      <c r="C7" s="20"/>
      <c r="D7" s="21" t="n">
        <f aca="false">Report!B12</f>
        <v>9</v>
      </c>
      <c r="E7" s="22" t="n">
        <f aca="false">IF(B7="","",IF(C7&lt;&gt;"",C7,Report!$B$11))</f>
        <v>46320.25</v>
      </c>
      <c r="F7" s="19" t="s">
        <v>96</v>
      </c>
      <c r="G7" s="19" t="s">
        <v>97</v>
      </c>
      <c r="H7" s="19" t="s">
        <v>98</v>
      </c>
      <c r="I7" s="19" t="s">
        <v>99</v>
      </c>
      <c r="J7" s="19" t="n">
        <v>60</v>
      </c>
      <c r="K7" s="19"/>
      <c r="L7" s="19"/>
      <c r="M7" s="19"/>
      <c r="N7" s="19"/>
      <c r="O7" s="18" t="str">
        <f aca="false">IF(F7="","",IFERROR(INDEX(Parts!$C$6:$C$45,MATCH(F7,Parts!$A$6:$A$45,0)),""))</f>
        <v>HT</v>
      </c>
      <c r="P7" s="18" t="n">
        <f aca="false">IF(F7="","",IFERROR(INDEX(Parts!$E$6:$E$45,MATCH(F7,Parts!$A$6:$A$45,0)),""))</f>
        <v>60</v>
      </c>
      <c r="Q7" s="23" t="n">
        <f aca="false">IF(OR(J7="",P7="",P7=0),"",J7/P7+IF(OR(N7="",K7=""),0,IFERROR(N7/INDEX(Parts!$E$6:$E$45,MATCH(K7,Parts!$A$6:$A$45,0)),0)))</f>
        <v>1</v>
      </c>
      <c r="R7" s="24" t="n">
        <f aca="false">IF(B7="","",IF(J7="",0,J7*IFERROR(INDEX(Parts!$F$6:$F$45,MATCH(F7,Parts!$A$6:$A$45,0)),0))+IF(N7="",0,N7*IFERROR(INDEX(Parts!$F$6:$F$45,MATCH(K7,Parts!$A$6:$A$45,0)),0)))</f>
        <v>108</v>
      </c>
      <c r="S7" s="19"/>
      <c r="T7" s="19"/>
      <c r="U7" s="18" t="n">
        <f aca="false">IF(B7="","",IF(F7="",Settings!$B$9,IFERROR(INDEX(Parts!$H$6:$H$45,MATCH(F7,Parts!$A$6:$A$45,0))+0,Settings!$B$9)))</f>
        <v>18</v>
      </c>
      <c r="V7" s="22" t="n">
        <f aca="false">IF(B7="","",IF(INDEX($E$7:$E$336,ROW()-6+Settings!$B$7)&lt;&gt;"",INDEX($E$7:$E$336,ROW()-6+Settings!$B$7),E7+Settings!$B$7*D7/1440))</f>
        <v>46320.3340277778</v>
      </c>
      <c r="W7" s="22" t="n">
        <f aca="false">IF(B7="","",IF(INDEX($E$7:$E$336,ROW()-6+Settings!$B$7+Settings!$B$8)&lt;&gt;"",INDEX($E$7:$E$336,ROW()-6+Settings!$B$7+Settings!$B$8),E7+(Settings!$B$7+Settings!$B$8)*D7/1440)+U7/1440)</f>
        <v>46320.4576388889</v>
      </c>
      <c r="X7" s="18" t="str">
        <f aca="false">IF(B7="","",IF(INDEX($E$7:$E$336,ROW()-6+Settings!$B$7+Settings!$B$8)&lt;&gt;"","line","estimate"))</f>
        <v>line</v>
      </c>
      <c r="Y7" s="25" t="n">
        <f aca="false">IF(B7="","",INT(W7-Settings!$B$6))</f>
        <v>46320</v>
      </c>
      <c r="Z7" s="19" t="s">
        <v>100</v>
      </c>
      <c r="AA7" s="18" t="str">
        <f aca="false">IF(B7="","",IF(AND(B7&lt;&gt;"Empty",F7=""),"part missing; ","")&amp;IF(AND(F7&lt;&gt;"",J7=""),"pieces missing; ","")&amp;IF(AND(F7&lt;&gt;"",O7=""),"part not on the Parts sheet; ","")&amp;IF(AND(B7="Empty",OR(F7&lt;&gt;"",K7&lt;&gt;"")),"empty tray with parts; ","")&amp;IF(AND(B7="Loaded",K7&lt;&gt;""),"second part: type Mixed; ","")&amp;IF(AND(Q7&lt;&gt;"",N(Q7)&gt;1),"over 100 % of the spec load; ","")&amp;IF(N(R7)&gt;Settings!$B$10,"over the tray maximum (kg); ","")&amp;IF(AND(K7&lt;&gt;"",IFERROR(INDEX(Parts!$C$6:$C$45,MATCH(K7,Parts!$A$6:$A$45,0)),O7)&lt;&gt;O7),"different processes in one tray; ","")&amp;IF(AND(S7&lt;&gt;"",T7=""),"rework reason missing; ",""))</f>
        <v/>
      </c>
    </row>
    <row r="8" customFormat="false" ht="15" hidden="false" customHeight="false" outlineLevel="0" collapsed="false">
      <c r="A8" s="18" t="n">
        <f aca="false">IF(B8="","",COUNTA(B$7:B8))</f>
        <v>2</v>
      </c>
      <c r="B8" s="19" t="s">
        <v>95</v>
      </c>
      <c r="C8" s="20"/>
      <c r="D8" s="21" t="n">
        <f aca="false">IF(B8="","",IF(D7="",Report!$B$12,D7))</f>
        <v>9</v>
      </c>
      <c r="E8" s="22" t="n">
        <f aca="false">IF(B8="","",IF(C8&lt;&gt;"",C8,E7+D7/1440+SUMIFS(Holds!$F$7:$F$46,Holds!$B$7:$B$46,"&gt;="&amp;E7,Holds!$B$7:$B$46,"&lt;"&amp;E7+D7/1440)/1440))</f>
        <v>46320.25625</v>
      </c>
      <c r="F8" s="19" t="s">
        <v>96</v>
      </c>
      <c r="G8" s="19" t="s">
        <v>97</v>
      </c>
      <c r="H8" s="19" t="s">
        <v>98</v>
      </c>
      <c r="I8" s="19" t="s">
        <v>99</v>
      </c>
      <c r="J8" s="19" t="n">
        <v>60</v>
      </c>
      <c r="K8" s="19"/>
      <c r="L8" s="19"/>
      <c r="M8" s="19"/>
      <c r="N8" s="19"/>
      <c r="O8" s="18" t="str">
        <f aca="false">IF(F8="","",IFERROR(INDEX(Parts!$C$6:$C$45,MATCH(F8,Parts!$A$6:$A$45,0)),""))</f>
        <v>HT</v>
      </c>
      <c r="P8" s="18" t="n">
        <f aca="false">IF(F8="","",IFERROR(INDEX(Parts!$E$6:$E$45,MATCH(F8,Parts!$A$6:$A$45,0)),""))</f>
        <v>60</v>
      </c>
      <c r="Q8" s="23" t="n">
        <f aca="false">IF(OR(J8="",P8="",P8=0),"",J8/P8+IF(OR(N8="",K8=""),0,IFERROR(N8/INDEX(Parts!$E$6:$E$45,MATCH(K8,Parts!$A$6:$A$45,0)),0)))</f>
        <v>1</v>
      </c>
      <c r="R8" s="24" t="n">
        <f aca="false">IF(B8="","",IF(J8="",0,J8*IFERROR(INDEX(Parts!$F$6:$F$45,MATCH(F8,Parts!$A$6:$A$45,0)),0))+IF(N8="",0,N8*IFERROR(INDEX(Parts!$F$6:$F$45,MATCH(K8,Parts!$A$6:$A$45,0)),0)))</f>
        <v>108</v>
      </c>
      <c r="S8" s="19"/>
      <c r="T8" s="19"/>
      <c r="U8" s="18" t="n">
        <f aca="false">IF(B8="","",IF(F8="",Settings!$B$9,IFERROR(INDEX(Parts!$H$6:$H$45,MATCH(F8,Parts!$A$6:$A$45,0))+0,Settings!$B$9)))</f>
        <v>18</v>
      </c>
      <c r="V8" s="22" t="n">
        <f aca="false">IF(B8="","",IF(INDEX($E$7:$E$336,ROW()-6+Settings!$B$7)&lt;&gt;"",INDEX($E$7:$E$336,ROW()-6+Settings!$B$7),E8+Settings!$B$7*D8/1440))</f>
        <v>46320.3409722222</v>
      </c>
      <c r="W8" s="22" t="n">
        <f aca="false">IF(B8="","",IF(INDEX($E$7:$E$336,ROW()-6+Settings!$B$7+Settings!$B$8)&lt;&gt;"",INDEX($E$7:$E$336,ROW()-6+Settings!$B$7+Settings!$B$8),E8+(Settings!$B$7+Settings!$B$8)*D8/1440)+U8/1440)</f>
        <v>46320.4645833333</v>
      </c>
      <c r="X8" s="18" t="str">
        <f aca="false">IF(B8="","",IF(INDEX($E$7:$E$336,ROW()-6+Settings!$B$7+Settings!$B$8)&lt;&gt;"","line","estimate"))</f>
        <v>line</v>
      </c>
      <c r="Y8" s="25" t="n">
        <f aca="false">IF(B8="","",INT(W8-Settings!$B$6))</f>
        <v>46320</v>
      </c>
      <c r="Z8" s="19"/>
      <c r="AA8" s="18" t="str">
        <f aca="false">IF(B8="","",IF(AND(B8&lt;&gt;"Empty",F8=""),"part missing; ","")&amp;IF(AND(F8&lt;&gt;"",J8=""),"pieces missing; ","")&amp;IF(AND(F8&lt;&gt;"",O8=""),"part not on the Parts sheet; ","")&amp;IF(AND(B8="Empty",OR(F8&lt;&gt;"",K8&lt;&gt;"")),"empty tray with parts; ","")&amp;IF(AND(B8="Loaded",K8&lt;&gt;""),"second part: type Mixed; ","")&amp;IF(AND(Q8&lt;&gt;"",N(Q8)&gt;1),"over 100 % of the spec load; ","")&amp;IF(N(R8)&gt;Settings!$B$10,"over the tray maximum (kg); ","")&amp;IF(AND(K8&lt;&gt;"",IFERROR(INDEX(Parts!$C$6:$C$45,MATCH(K8,Parts!$A$6:$A$45,0)),O8)&lt;&gt;O8),"different processes in one tray; ","")&amp;IF(AND(S8&lt;&gt;"",T8=""),"rework reason missing; ",""))</f>
        <v/>
      </c>
    </row>
    <row r="9" customFormat="false" ht="15" hidden="false" customHeight="false" outlineLevel="0" collapsed="false">
      <c r="A9" s="18" t="n">
        <f aca="false">IF(B9="","",COUNTA(B$7:B9))</f>
        <v>3</v>
      </c>
      <c r="B9" s="19" t="s">
        <v>95</v>
      </c>
      <c r="C9" s="20"/>
      <c r="D9" s="21" t="n">
        <f aca="false">IF(B9="","",IF(D8="",Report!$B$12,D8))</f>
        <v>9</v>
      </c>
      <c r="E9" s="22" t="n">
        <f aca="false">IF(B9="","",IF(C9&lt;&gt;"",C9,E8+D8/1440+SUMIFS(Holds!$F$7:$F$46,Holds!$B$7:$B$46,"&gt;="&amp;E8,Holds!$B$7:$B$46,"&lt;"&amp;E8+D8/1440)/1440))</f>
        <v>46320.2625</v>
      </c>
      <c r="F9" s="19" t="s">
        <v>96</v>
      </c>
      <c r="G9" s="19" t="s">
        <v>97</v>
      </c>
      <c r="H9" s="19" t="s">
        <v>98</v>
      </c>
      <c r="I9" s="19" t="s">
        <v>99</v>
      </c>
      <c r="J9" s="19" t="n">
        <v>60</v>
      </c>
      <c r="K9" s="19"/>
      <c r="L9" s="19"/>
      <c r="M9" s="19"/>
      <c r="N9" s="19"/>
      <c r="O9" s="18" t="str">
        <f aca="false">IF(F9="","",IFERROR(INDEX(Parts!$C$6:$C$45,MATCH(F9,Parts!$A$6:$A$45,0)),""))</f>
        <v>HT</v>
      </c>
      <c r="P9" s="18" t="n">
        <f aca="false">IF(F9="","",IFERROR(INDEX(Parts!$E$6:$E$45,MATCH(F9,Parts!$A$6:$A$45,0)),""))</f>
        <v>60</v>
      </c>
      <c r="Q9" s="23" t="n">
        <f aca="false">IF(OR(J9="",P9="",P9=0),"",J9/P9+IF(OR(N9="",K9=""),0,IFERROR(N9/INDEX(Parts!$E$6:$E$45,MATCH(K9,Parts!$A$6:$A$45,0)),0)))</f>
        <v>1</v>
      </c>
      <c r="R9" s="24" t="n">
        <f aca="false">IF(B9="","",IF(J9="",0,J9*IFERROR(INDEX(Parts!$F$6:$F$45,MATCH(F9,Parts!$A$6:$A$45,0)),0))+IF(N9="",0,N9*IFERROR(INDEX(Parts!$F$6:$F$45,MATCH(K9,Parts!$A$6:$A$45,0)),0)))</f>
        <v>108</v>
      </c>
      <c r="S9" s="19"/>
      <c r="T9" s="19"/>
      <c r="U9" s="18" t="n">
        <f aca="false">IF(B9="","",IF(F9="",Settings!$B$9,IFERROR(INDEX(Parts!$H$6:$H$45,MATCH(F9,Parts!$A$6:$A$45,0))+0,Settings!$B$9)))</f>
        <v>18</v>
      </c>
      <c r="V9" s="22" t="n">
        <f aca="false">IF(B9="","",IF(INDEX($E$7:$E$336,ROW()-6+Settings!$B$7)&lt;&gt;"",INDEX($E$7:$E$336,ROW()-6+Settings!$B$7),E9+Settings!$B$7*D9/1440))</f>
        <v>46320.3479166667</v>
      </c>
      <c r="W9" s="22" t="n">
        <f aca="false">IF(B9="","",IF(INDEX($E$7:$E$336,ROW()-6+Settings!$B$7+Settings!$B$8)&lt;&gt;"",INDEX($E$7:$E$336,ROW()-6+Settings!$B$7+Settings!$B$8),E9+(Settings!$B$7+Settings!$B$8)*D9/1440)+U9/1440)</f>
        <v>46320.4715277778</v>
      </c>
      <c r="X9" s="18" t="str">
        <f aca="false">IF(B9="","",IF(INDEX($E$7:$E$336,ROW()-6+Settings!$B$7+Settings!$B$8)&lt;&gt;"","line","estimate"))</f>
        <v>line</v>
      </c>
      <c r="Y9" s="25" t="n">
        <f aca="false">IF(B9="","",INT(W9-Settings!$B$6))</f>
        <v>46320</v>
      </c>
      <c r="Z9" s="19"/>
      <c r="AA9" s="18" t="str">
        <f aca="false">IF(B9="","",IF(AND(B9&lt;&gt;"Empty",F9=""),"part missing; ","")&amp;IF(AND(F9&lt;&gt;"",J9=""),"pieces missing; ","")&amp;IF(AND(F9&lt;&gt;"",O9=""),"part not on the Parts sheet; ","")&amp;IF(AND(B9="Empty",OR(F9&lt;&gt;"",K9&lt;&gt;"")),"empty tray with parts; ","")&amp;IF(AND(B9="Loaded",K9&lt;&gt;""),"second part: type Mixed; ","")&amp;IF(AND(Q9&lt;&gt;"",N(Q9)&gt;1),"over 100 % of the spec load; ","")&amp;IF(N(R9)&gt;Settings!$B$10,"over the tray maximum (kg); ","")&amp;IF(AND(K9&lt;&gt;"",IFERROR(INDEX(Parts!$C$6:$C$45,MATCH(K9,Parts!$A$6:$A$45,0)),O9)&lt;&gt;O9),"different processes in one tray; ","")&amp;IF(AND(S9&lt;&gt;"",T9=""),"rework reason missing; ",""))</f>
        <v/>
      </c>
    </row>
    <row r="10" customFormat="false" ht="15" hidden="false" customHeight="false" outlineLevel="0" collapsed="false">
      <c r="A10" s="18" t="n">
        <f aca="false">IF(B10="","",COUNTA(B$7:B10))</f>
        <v>4</v>
      </c>
      <c r="B10" s="19" t="s">
        <v>95</v>
      </c>
      <c r="C10" s="20"/>
      <c r="D10" s="21" t="n">
        <f aca="false">IF(B10="","",IF(D9="",Report!$B$12,D9))</f>
        <v>9</v>
      </c>
      <c r="E10" s="22" t="n">
        <f aca="false">IF(B10="","",IF(C10&lt;&gt;"",C10,E9+D9/1440+SUMIFS(Holds!$F$7:$F$46,Holds!$B$7:$B$46,"&gt;="&amp;E9,Holds!$B$7:$B$46,"&lt;"&amp;E9+D9/1440)/1440))</f>
        <v>46320.26875</v>
      </c>
      <c r="F10" s="19" t="s">
        <v>96</v>
      </c>
      <c r="G10" s="19" t="s">
        <v>97</v>
      </c>
      <c r="H10" s="19" t="s">
        <v>98</v>
      </c>
      <c r="I10" s="19" t="s">
        <v>99</v>
      </c>
      <c r="J10" s="19" t="n">
        <v>60</v>
      </c>
      <c r="K10" s="19"/>
      <c r="L10" s="19"/>
      <c r="M10" s="19"/>
      <c r="N10" s="19"/>
      <c r="O10" s="18" t="str">
        <f aca="false">IF(F10="","",IFERROR(INDEX(Parts!$C$6:$C$45,MATCH(F10,Parts!$A$6:$A$45,0)),""))</f>
        <v>HT</v>
      </c>
      <c r="P10" s="18" t="n">
        <f aca="false">IF(F10="","",IFERROR(INDEX(Parts!$E$6:$E$45,MATCH(F10,Parts!$A$6:$A$45,0)),""))</f>
        <v>60</v>
      </c>
      <c r="Q10" s="23" t="n">
        <f aca="false">IF(OR(J10="",P10="",P10=0),"",J10/P10+IF(OR(N10="",K10=""),0,IFERROR(N10/INDEX(Parts!$E$6:$E$45,MATCH(K10,Parts!$A$6:$A$45,0)),0)))</f>
        <v>1</v>
      </c>
      <c r="R10" s="24" t="n">
        <f aca="false">IF(B10="","",IF(J10="",0,J10*IFERROR(INDEX(Parts!$F$6:$F$45,MATCH(F10,Parts!$A$6:$A$45,0)),0))+IF(N10="",0,N10*IFERROR(INDEX(Parts!$F$6:$F$45,MATCH(K10,Parts!$A$6:$A$45,0)),0)))</f>
        <v>108</v>
      </c>
      <c r="S10" s="19"/>
      <c r="T10" s="19"/>
      <c r="U10" s="18" t="n">
        <f aca="false">IF(B10="","",IF(F10="",Settings!$B$9,IFERROR(INDEX(Parts!$H$6:$H$45,MATCH(F10,Parts!$A$6:$A$45,0))+0,Settings!$B$9)))</f>
        <v>18</v>
      </c>
      <c r="V10" s="22" t="n">
        <f aca="false">IF(B10="","",IF(INDEX($E$7:$E$336,ROW()-6+Settings!$B$7)&lt;&gt;"",INDEX($E$7:$E$336,ROW()-6+Settings!$B$7),E10+Settings!$B$7*D10/1440))</f>
        <v>46320.3548611111</v>
      </c>
      <c r="W10" s="22" t="n">
        <f aca="false">IF(B10="","",IF(INDEX($E$7:$E$336,ROW()-6+Settings!$B$7+Settings!$B$8)&lt;&gt;"",INDEX($E$7:$E$336,ROW()-6+Settings!$B$7+Settings!$B$8),E10+(Settings!$B$7+Settings!$B$8)*D10/1440)+U10/1440)</f>
        <v>46320.4784722222</v>
      </c>
      <c r="X10" s="18" t="str">
        <f aca="false">IF(B10="","",IF(INDEX($E$7:$E$336,ROW()-6+Settings!$B$7+Settings!$B$8)&lt;&gt;"","line","estimate"))</f>
        <v>line</v>
      </c>
      <c r="Y10" s="25" t="n">
        <f aca="false">IF(B10="","",INT(W10-Settings!$B$6))</f>
        <v>46320</v>
      </c>
      <c r="Z10" s="19"/>
      <c r="AA10" s="18" t="str">
        <f aca="false">IF(B10="","",IF(AND(B10&lt;&gt;"Empty",F10=""),"part missing; ","")&amp;IF(AND(F10&lt;&gt;"",J10=""),"pieces missing; ","")&amp;IF(AND(F10&lt;&gt;"",O10=""),"part not on the Parts sheet; ","")&amp;IF(AND(B10="Empty",OR(F10&lt;&gt;"",K10&lt;&gt;"")),"empty tray with parts; ","")&amp;IF(AND(B10="Loaded",K10&lt;&gt;""),"second part: type Mixed; ","")&amp;IF(AND(Q10&lt;&gt;"",N(Q10)&gt;1),"over 100 % of the spec load; ","")&amp;IF(N(R10)&gt;Settings!$B$10,"over the tray maximum (kg); ","")&amp;IF(AND(K10&lt;&gt;"",IFERROR(INDEX(Parts!$C$6:$C$45,MATCH(K10,Parts!$A$6:$A$45,0)),O10)&lt;&gt;O10),"different processes in one tray; ","")&amp;IF(AND(S10&lt;&gt;"",T10=""),"rework reason missing; ",""))</f>
        <v/>
      </c>
    </row>
    <row r="11" customFormat="false" ht="15" hidden="false" customHeight="false" outlineLevel="0" collapsed="false">
      <c r="A11" s="18" t="n">
        <f aca="false">IF(B11="","",COUNTA(B$7:B11))</f>
        <v>5</v>
      </c>
      <c r="B11" s="19" t="s">
        <v>95</v>
      </c>
      <c r="C11" s="20"/>
      <c r="D11" s="21" t="n">
        <f aca="false">IF(B11="","",IF(D10="",Report!$B$12,D10))</f>
        <v>9</v>
      </c>
      <c r="E11" s="22" t="n">
        <f aca="false">IF(B11="","",IF(C11&lt;&gt;"",C11,E10+D10/1440+SUMIFS(Holds!$F$7:$F$46,Holds!$B$7:$B$46,"&gt;="&amp;E10,Holds!$B$7:$B$46,"&lt;"&amp;E10+D10/1440)/1440))</f>
        <v>46320.275</v>
      </c>
      <c r="F11" s="19" t="s">
        <v>96</v>
      </c>
      <c r="G11" s="19" t="s">
        <v>97</v>
      </c>
      <c r="H11" s="19" t="s">
        <v>98</v>
      </c>
      <c r="I11" s="19" t="s">
        <v>99</v>
      </c>
      <c r="J11" s="19" t="n">
        <v>60</v>
      </c>
      <c r="K11" s="19"/>
      <c r="L11" s="19"/>
      <c r="M11" s="19"/>
      <c r="N11" s="19"/>
      <c r="O11" s="18" t="str">
        <f aca="false">IF(F11="","",IFERROR(INDEX(Parts!$C$6:$C$45,MATCH(F11,Parts!$A$6:$A$45,0)),""))</f>
        <v>HT</v>
      </c>
      <c r="P11" s="18" t="n">
        <f aca="false">IF(F11="","",IFERROR(INDEX(Parts!$E$6:$E$45,MATCH(F11,Parts!$A$6:$A$45,0)),""))</f>
        <v>60</v>
      </c>
      <c r="Q11" s="23" t="n">
        <f aca="false">IF(OR(J11="",P11="",P11=0),"",J11/P11+IF(OR(N11="",K11=""),0,IFERROR(N11/INDEX(Parts!$E$6:$E$45,MATCH(K11,Parts!$A$6:$A$45,0)),0)))</f>
        <v>1</v>
      </c>
      <c r="R11" s="24" t="n">
        <f aca="false">IF(B11="","",IF(J11="",0,J11*IFERROR(INDEX(Parts!$F$6:$F$45,MATCH(F11,Parts!$A$6:$A$45,0)),0))+IF(N11="",0,N11*IFERROR(INDEX(Parts!$F$6:$F$45,MATCH(K11,Parts!$A$6:$A$45,0)),0)))</f>
        <v>108</v>
      </c>
      <c r="S11" s="19"/>
      <c r="T11" s="19"/>
      <c r="U11" s="18" t="n">
        <f aca="false">IF(B11="","",IF(F11="",Settings!$B$9,IFERROR(INDEX(Parts!$H$6:$H$45,MATCH(F11,Parts!$A$6:$A$45,0))+0,Settings!$B$9)))</f>
        <v>18</v>
      </c>
      <c r="V11" s="22" t="n">
        <f aca="false">IF(B11="","",IF(INDEX($E$7:$E$336,ROW()-6+Settings!$B$7)&lt;&gt;"",INDEX($E$7:$E$336,ROW()-6+Settings!$B$7),E11+Settings!$B$7*D11/1440))</f>
        <v>46320.3618055556</v>
      </c>
      <c r="W11" s="22" t="n">
        <f aca="false">IF(B11="","",IF(INDEX($E$7:$E$336,ROW()-6+Settings!$B$7+Settings!$B$8)&lt;&gt;"",INDEX($E$7:$E$336,ROW()-6+Settings!$B$7+Settings!$B$8),E11+(Settings!$B$7+Settings!$B$8)*D11/1440)+U11/1440)</f>
        <v>46320.4854166667</v>
      </c>
      <c r="X11" s="18" t="str">
        <f aca="false">IF(B11="","",IF(INDEX($E$7:$E$336,ROW()-6+Settings!$B$7+Settings!$B$8)&lt;&gt;"","line","estimate"))</f>
        <v>line</v>
      </c>
      <c r="Y11" s="25" t="n">
        <f aca="false">IF(B11="","",INT(W11-Settings!$B$6))</f>
        <v>46320</v>
      </c>
      <c r="Z11" s="19"/>
      <c r="AA11" s="18" t="str">
        <f aca="false">IF(B11="","",IF(AND(B11&lt;&gt;"Empty",F11=""),"part missing; ","")&amp;IF(AND(F11&lt;&gt;"",J11=""),"pieces missing; ","")&amp;IF(AND(F11&lt;&gt;"",O11=""),"part not on the Parts sheet; ","")&amp;IF(AND(B11="Empty",OR(F11&lt;&gt;"",K11&lt;&gt;"")),"empty tray with parts; ","")&amp;IF(AND(B11="Loaded",K11&lt;&gt;""),"second part: type Mixed; ","")&amp;IF(AND(Q11&lt;&gt;"",N(Q11)&gt;1),"over 100 % of the spec load; ","")&amp;IF(N(R11)&gt;Settings!$B$10,"over the tray maximum (kg); ","")&amp;IF(AND(K11&lt;&gt;"",IFERROR(INDEX(Parts!$C$6:$C$45,MATCH(K11,Parts!$A$6:$A$45,0)),O11)&lt;&gt;O11),"different processes in one tray; ","")&amp;IF(AND(S11&lt;&gt;"",T11=""),"rework reason missing; ",""))</f>
        <v/>
      </c>
    </row>
    <row r="12" customFormat="false" ht="15" hidden="false" customHeight="false" outlineLevel="0" collapsed="false">
      <c r="A12" s="18" t="n">
        <f aca="false">IF(B12="","",COUNTA(B$7:B12))</f>
        <v>6</v>
      </c>
      <c r="B12" s="19" t="s">
        <v>95</v>
      </c>
      <c r="C12" s="20"/>
      <c r="D12" s="21" t="n">
        <f aca="false">IF(B12="","",IF(D11="",Report!$B$12,D11))</f>
        <v>9</v>
      </c>
      <c r="E12" s="22" t="n">
        <f aca="false">IF(B12="","",IF(C12&lt;&gt;"",C12,E11+D11/1440+SUMIFS(Holds!$F$7:$F$46,Holds!$B$7:$B$46,"&gt;="&amp;E11,Holds!$B$7:$B$46,"&lt;"&amp;E11+D11/1440)/1440))</f>
        <v>46320.28125</v>
      </c>
      <c r="F12" s="19" t="s">
        <v>96</v>
      </c>
      <c r="G12" s="19" t="s">
        <v>97</v>
      </c>
      <c r="H12" s="19" t="s">
        <v>98</v>
      </c>
      <c r="I12" s="19" t="s">
        <v>99</v>
      </c>
      <c r="J12" s="19" t="n">
        <v>60</v>
      </c>
      <c r="K12" s="19"/>
      <c r="L12" s="19"/>
      <c r="M12" s="19"/>
      <c r="N12" s="19"/>
      <c r="O12" s="18" t="str">
        <f aca="false">IF(F12="","",IFERROR(INDEX(Parts!$C$6:$C$45,MATCH(F12,Parts!$A$6:$A$45,0)),""))</f>
        <v>HT</v>
      </c>
      <c r="P12" s="18" t="n">
        <f aca="false">IF(F12="","",IFERROR(INDEX(Parts!$E$6:$E$45,MATCH(F12,Parts!$A$6:$A$45,0)),""))</f>
        <v>60</v>
      </c>
      <c r="Q12" s="23" t="n">
        <f aca="false">IF(OR(J12="",P12="",P12=0),"",J12/P12+IF(OR(N12="",K12=""),0,IFERROR(N12/INDEX(Parts!$E$6:$E$45,MATCH(K12,Parts!$A$6:$A$45,0)),0)))</f>
        <v>1</v>
      </c>
      <c r="R12" s="24" t="n">
        <f aca="false">IF(B12="","",IF(J12="",0,J12*IFERROR(INDEX(Parts!$F$6:$F$45,MATCH(F12,Parts!$A$6:$A$45,0)),0))+IF(N12="",0,N12*IFERROR(INDEX(Parts!$F$6:$F$45,MATCH(K12,Parts!$A$6:$A$45,0)),0)))</f>
        <v>108</v>
      </c>
      <c r="S12" s="19"/>
      <c r="T12" s="19"/>
      <c r="U12" s="18" t="n">
        <f aca="false">IF(B12="","",IF(F12="",Settings!$B$9,IFERROR(INDEX(Parts!$H$6:$H$45,MATCH(F12,Parts!$A$6:$A$45,0))+0,Settings!$B$9)))</f>
        <v>18</v>
      </c>
      <c r="V12" s="22" t="n">
        <f aca="false">IF(B12="","",IF(INDEX($E$7:$E$336,ROW()-6+Settings!$B$7)&lt;&gt;"",INDEX($E$7:$E$336,ROW()-6+Settings!$B$7),E12+Settings!$B$7*D12/1440))</f>
        <v>46320.36875</v>
      </c>
      <c r="W12" s="22" t="n">
        <f aca="false">IF(B12="","",IF(INDEX($E$7:$E$336,ROW()-6+Settings!$B$7+Settings!$B$8)&lt;&gt;"",INDEX($E$7:$E$336,ROW()-6+Settings!$B$7+Settings!$B$8),E12+(Settings!$B$7+Settings!$B$8)*D12/1440)+U12/1440)</f>
        <v>46320.4923611111</v>
      </c>
      <c r="X12" s="18" t="str">
        <f aca="false">IF(B12="","",IF(INDEX($E$7:$E$336,ROW()-6+Settings!$B$7+Settings!$B$8)&lt;&gt;"","line","estimate"))</f>
        <v>line</v>
      </c>
      <c r="Y12" s="25" t="n">
        <f aca="false">IF(B12="","",INT(W12-Settings!$B$6))</f>
        <v>46320</v>
      </c>
      <c r="Z12" s="19"/>
      <c r="AA12" s="18" t="str">
        <f aca="false">IF(B12="","",IF(AND(B12&lt;&gt;"Empty",F12=""),"part missing; ","")&amp;IF(AND(F12&lt;&gt;"",J12=""),"pieces missing; ","")&amp;IF(AND(F12&lt;&gt;"",O12=""),"part not on the Parts sheet; ","")&amp;IF(AND(B12="Empty",OR(F12&lt;&gt;"",K12&lt;&gt;"")),"empty tray with parts; ","")&amp;IF(AND(B12="Loaded",K12&lt;&gt;""),"second part: type Mixed; ","")&amp;IF(AND(Q12&lt;&gt;"",N(Q12)&gt;1),"over 100 % of the spec load; ","")&amp;IF(N(R12)&gt;Settings!$B$10,"over the tray maximum (kg); ","")&amp;IF(AND(K12&lt;&gt;"",IFERROR(INDEX(Parts!$C$6:$C$45,MATCH(K12,Parts!$A$6:$A$45,0)),O12)&lt;&gt;O12),"different processes in one tray; ","")&amp;IF(AND(S12&lt;&gt;"",T12=""),"rework reason missing; ",""))</f>
        <v/>
      </c>
    </row>
    <row r="13" customFormat="false" ht="15" hidden="false" customHeight="false" outlineLevel="0" collapsed="false">
      <c r="A13" s="18" t="n">
        <f aca="false">IF(B13="","",COUNTA(B$7:B13))</f>
        <v>7</v>
      </c>
      <c r="B13" s="19" t="s">
        <v>95</v>
      </c>
      <c r="C13" s="20"/>
      <c r="D13" s="21" t="n">
        <f aca="false">IF(B13="","",IF(D12="",Report!$B$12,D12))</f>
        <v>9</v>
      </c>
      <c r="E13" s="22" t="n">
        <f aca="false">IF(B13="","",IF(C13&lt;&gt;"",C13,E12+D12/1440+SUMIFS(Holds!$F$7:$F$46,Holds!$B$7:$B$46,"&gt;="&amp;E12,Holds!$B$7:$B$46,"&lt;"&amp;E12+D12/1440)/1440))</f>
        <v>46320.2875</v>
      </c>
      <c r="F13" s="19" t="s">
        <v>96</v>
      </c>
      <c r="G13" s="19" t="s">
        <v>97</v>
      </c>
      <c r="H13" s="19" t="s">
        <v>98</v>
      </c>
      <c r="I13" s="19" t="s">
        <v>99</v>
      </c>
      <c r="J13" s="19" t="n">
        <v>60</v>
      </c>
      <c r="K13" s="19"/>
      <c r="L13" s="19"/>
      <c r="M13" s="19"/>
      <c r="N13" s="19"/>
      <c r="O13" s="18" t="str">
        <f aca="false">IF(F13="","",IFERROR(INDEX(Parts!$C$6:$C$45,MATCH(F13,Parts!$A$6:$A$45,0)),""))</f>
        <v>HT</v>
      </c>
      <c r="P13" s="18" t="n">
        <f aca="false">IF(F13="","",IFERROR(INDEX(Parts!$E$6:$E$45,MATCH(F13,Parts!$A$6:$A$45,0)),""))</f>
        <v>60</v>
      </c>
      <c r="Q13" s="23" t="n">
        <f aca="false">IF(OR(J13="",P13="",P13=0),"",J13/P13+IF(OR(N13="",K13=""),0,IFERROR(N13/INDEX(Parts!$E$6:$E$45,MATCH(K13,Parts!$A$6:$A$45,0)),0)))</f>
        <v>1</v>
      </c>
      <c r="R13" s="24" t="n">
        <f aca="false">IF(B13="","",IF(J13="",0,J13*IFERROR(INDEX(Parts!$F$6:$F$45,MATCH(F13,Parts!$A$6:$A$45,0)),0))+IF(N13="",0,N13*IFERROR(INDEX(Parts!$F$6:$F$45,MATCH(K13,Parts!$A$6:$A$45,0)),0)))</f>
        <v>108</v>
      </c>
      <c r="S13" s="19"/>
      <c r="T13" s="19"/>
      <c r="U13" s="18" t="n">
        <f aca="false">IF(B13="","",IF(F13="",Settings!$B$9,IFERROR(INDEX(Parts!$H$6:$H$45,MATCH(F13,Parts!$A$6:$A$45,0))+0,Settings!$B$9)))</f>
        <v>18</v>
      </c>
      <c r="V13" s="22" t="n">
        <f aca="false">IF(B13="","",IF(INDEX($E$7:$E$336,ROW()-6+Settings!$B$7)&lt;&gt;"",INDEX($E$7:$E$336,ROW()-6+Settings!$B$7),E13+Settings!$B$7*D13/1440))</f>
        <v>46320.4034722222</v>
      </c>
      <c r="W13" s="22" t="n">
        <f aca="false">IF(B13="","",IF(INDEX($E$7:$E$336,ROW()-6+Settings!$B$7+Settings!$B$8)&lt;&gt;"",INDEX($E$7:$E$336,ROW()-6+Settings!$B$7+Settings!$B$8),E13+(Settings!$B$7+Settings!$B$8)*D13/1440)+U13/1440)</f>
        <v>46320.4993055556</v>
      </c>
      <c r="X13" s="18" t="str">
        <f aca="false">IF(B13="","",IF(INDEX($E$7:$E$336,ROW()-6+Settings!$B$7+Settings!$B$8)&lt;&gt;"","line","estimate"))</f>
        <v>line</v>
      </c>
      <c r="Y13" s="25" t="n">
        <f aca="false">IF(B13="","",INT(W13-Settings!$B$6))</f>
        <v>46320</v>
      </c>
      <c r="Z13" s="19"/>
      <c r="AA13" s="18" t="str">
        <f aca="false">IF(B13="","",IF(AND(B13&lt;&gt;"Empty",F13=""),"part missing; ","")&amp;IF(AND(F13&lt;&gt;"",J13=""),"pieces missing; ","")&amp;IF(AND(F13&lt;&gt;"",O13=""),"part not on the Parts sheet; ","")&amp;IF(AND(B13="Empty",OR(F13&lt;&gt;"",K13&lt;&gt;"")),"empty tray with parts; ","")&amp;IF(AND(B13="Loaded",K13&lt;&gt;""),"second part: type Mixed; ","")&amp;IF(AND(Q13&lt;&gt;"",N(Q13)&gt;1),"over 100 % of the spec load; ","")&amp;IF(N(R13)&gt;Settings!$B$10,"over the tray maximum (kg); ","")&amp;IF(AND(K13&lt;&gt;"",IFERROR(INDEX(Parts!$C$6:$C$45,MATCH(K13,Parts!$A$6:$A$45,0)),O13)&lt;&gt;O13),"different processes in one tray; ","")&amp;IF(AND(S13&lt;&gt;"",T13=""),"rework reason missing; ",""))</f>
        <v/>
      </c>
    </row>
    <row r="14" customFormat="false" ht="15" hidden="false" customHeight="false" outlineLevel="0" collapsed="false">
      <c r="A14" s="18" t="n">
        <f aca="false">IF(B14="","",COUNTA(B$7:B14))</f>
        <v>8</v>
      </c>
      <c r="B14" s="19" t="s">
        <v>95</v>
      </c>
      <c r="C14" s="20"/>
      <c r="D14" s="21" t="n">
        <f aca="false">IF(B14="","",IF(D13="",Report!$B$12,D13))</f>
        <v>9</v>
      </c>
      <c r="E14" s="22" t="n">
        <f aca="false">IF(B14="","",IF(C14&lt;&gt;"",C14,E13+D13/1440+SUMIFS(Holds!$F$7:$F$46,Holds!$B$7:$B$46,"&gt;="&amp;E13,Holds!$B$7:$B$46,"&lt;"&amp;E13+D13/1440)/1440))</f>
        <v>46320.29375</v>
      </c>
      <c r="F14" s="19" t="s">
        <v>96</v>
      </c>
      <c r="G14" s="19" t="s">
        <v>97</v>
      </c>
      <c r="H14" s="19" t="s">
        <v>98</v>
      </c>
      <c r="I14" s="19" t="s">
        <v>99</v>
      </c>
      <c r="J14" s="19" t="n">
        <v>60</v>
      </c>
      <c r="K14" s="19"/>
      <c r="L14" s="19"/>
      <c r="M14" s="19"/>
      <c r="N14" s="19"/>
      <c r="O14" s="18" t="str">
        <f aca="false">IF(F14="","",IFERROR(INDEX(Parts!$C$6:$C$45,MATCH(F14,Parts!$A$6:$A$45,0)),""))</f>
        <v>HT</v>
      </c>
      <c r="P14" s="18" t="n">
        <f aca="false">IF(F14="","",IFERROR(INDEX(Parts!$E$6:$E$45,MATCH(F14,Parts!$A$6:$A$45,0)),""))</f>
        <v>60</v>
      </c>
      <c r="Q14" s="23" t="n">
        <f aca="false">IF(OR(J14="",P14="",P14=0),"",J14/P14+IF(OR(N14="",K14=""),0,IFERROR(N14/INDEX(Parts!$E$6:$E$45,MATCH(K14,Parts!$A$6:$A$45,0)),0)))</f>
        <v>1</v>
      </c>
      <c r="R14" s="24" t="n">
        <f aca="false">IF(B14="","",IF(J14="",0,J14*IFERROR(INDEX(Parts!$F$6:$F$45,MATCH(F14,Parts!$A$6:$A$45,0)),0))+IF(N14="",0,N14*IFERROR(INDEX(Parts!$F$6:$F$45,MATCH(K14,Parts!$A$6:$A$45,0)),0)))</f>
        <v>108</v>
      </c>
      <c r="S14" s="19"/>
      <c r="T14" s="19"/>
      <c r="U14" s="18" t="n">
        <f aca="false">IF(B14="","",IF(F14="",Settings!$B$9,IFERROR(INDEX(Parts!$H$6:$H$45,MATCH(F14,Parts!$A$6:$A$45,0))+0,Settings!$B$9)))</f>
        <v>18</v>
      </c>
      <c r="V14" s="22" t="n">
        <f aca="false">IF(B14="","",IF(INDEX($E$7:$E$336,ROW()-6+Settings!$B$7)&lt;&gt;"",INDEX($E$7:$E$336,ROW()-6+Settings!$B$7),E14+Settings!$B$7*D14/1440))</f>
        <v>46320.4104166667</v>
      </c>
      <c r="W14" s="22" t="n">
        <f aca="false">IF(B14="","",IF(INDEX($E$7:$E$336,ROW()-6+Settings!$B$7+Settings!$B$8)&lt;&gt;"",INDEX($E$7:$E$336,ROW()-6+Settings!$B$7+Settings!$B$8),E14+(Settings!$B$7+Settings!$B$8)*D14/1440)+U14/1440)</f>
        <v>46320.50625</v>
      </c>
      <c r="X14" s="18" t="str">
        <f aca="false">IF(B14="","",IF(INDEX($E$7:$E$336,ROW()-6+Settings!$B$7+Settings!$B$8)&lt;&gt;"","line","estimate"))</f>
        <v>line</v>
      </c>
      <c r="Y14" s="25" t="n">
        <f aca="false">IF(B14="","",INT(W14-Settings!$B$6))</f>
        <v>46320</v>
      </c>
      <c r="Z14" s="19"/>
      <c r="AA14" s="18" t="str">
        <f aca="false">IF(B14="","",IF(AND(B14&lt;&gt;"Empty",F14=""),"part missing; ","")&amp;IF(AND(F14&lt;&gt;"",J14=""),"pieces missing; ","")&amp;IF(AND(F14&lt;&gt;"",O14=""),"part not on the Parts sheet; ","")&amp;IF(AND(B14="Empty",OR(F14&lt;&gt;"",K14&lt;&gt;"")),"empty tray with parts; ","")&amp;IF(AND(B14="Loaded",K14&lt;&gt;""),"second part: type Mixed; ","")&amp;IF(AND(Q14&lt;&gt;"",N(Q14)&gt;1),"over 100 % of the spec load; ","")&amp;IF(N(R14)&gt;Settings!$B$10,"over the tray maximum (kg); ","")&amp;IF(AND(K14&lt;&gt;"",IFERROR(INDEX(Parts!$C$6:$C$45,MATCH(K14,Parts!$A$6:$A$45,0)),O14)&lt;&gt;O14),"different processes in one tray; ","")&amp;IF(AND(S14&lt;&gt;"",T14=""),"rework reason missing; ",""))</f>
        <v/>
      </c>
    </row>
    <row r="15" customFormat="false" ht="15" hidden="false" customHeight="false" outlineLevel="0" collapsed="false">
      <c r="A15" s="18" t="n">
        <f aca="false">IF(B15="","",COUNTA(B$7:B15))</f>
        <v>9</v>
      </c>
      <c r="B15" s="19" t="s">
        <v>95</v>
      </c>
      <c r="C15" s="20"/>
      <c r="D15" s="21" t="n">
        <f aca="false">IF(B15="","",IF(D14="",Report!$B$12,D14))</f>
        <v>9</v>
      </c>
      <c r="E15" s="22" t="n">
        <f aca="false">IF(B15="","",IF(C15&lt;&gt;"",C15,E14+D14/1440+SUMIFS(Holds!$F$7:$F$46,Holds!$B$7:$B$46,"&gt;="&amp;E14,Holds!$B$7:$B$46,"&lt;"&amp;E14+D14/1440)/1440))</f>
        <v>46320.3</v>
      </c>
      <c r="F15" s="19" t="s">
        <v>96</v>
      </c>
      <c r="G15" s="19" t="s">
        <v>97</v>
      </c>
      <c r="H15" s="19" t="s">
        <v>98</v>
      </c>
      <c r="I15" s="19" t="s">
        <v>99</v>
      </c>
      <c r="J15" s="19" t="n">
        <v>60</v>
      </c>
      <c r="K15" s="19"/>
      <c r="L15" s="19"/>
      <c r="M15" s="19"/>
      <c r="N15" s="19"/>
      <c r="O15" s="18" t="str">
        <f aca="false">IF(F15="","",IFERROR(INDEX(Parts!$C$6:$C$45,MATCH(F15,Parts!$A$6:$A$45,0)),""))</f>
        <v>HT</v>
      </c>
      <c r="P15" s="18" t="n">
        <f aca="false">IF(F15="","",IFERROR(INDEX(Parts!$E$6:$E$45,MATCH(F15,Parts!$A$6:$A$45,0)),""))</f>
        <v>60</v>
      </c>
      <c r="Q15" s="23" t="n">
        <f aca="false">IF(OR(J15="",P15="",P15=0),"",J15/P15+IF(OR(N15="",K15=""),0,IFERROR(N15/INDEX(Parts!$E$6:$E$45,MATCH(K15,Parts!$A$6:$A$45,0)),0)))</f>
        <v>1</v>
      </c>
      <c r="R15" s="24" t="n">
        <f aca="false">IF(B15="","",IF(J15="",0,J15*IFERROR(INDEX(Parts!$F$6:$F$45,MATCH(F15,Parts!$A$6:$A$45,0)),0))+IF(N15="",0,N15*IFERROR(INDEX(Parts!$F$6:$F$45,MATCH(K15,Parts!$A$6:$A$45,0)),0)))</f>
        <v>108</v>
      </c>
      <c r="S15" s="19"/>
      <c r="T15" s="19"/>
      <c r="U15" s="18" t="n">
        <f aca="false">IF(B15="","",IF(F15="",Settings!$B$9,IFERROR(INDEX(Parts!$H$6:$H$45,MATCH(F15,Parts!$A$6:$A$45,0))+0,Settings!$B$9)))</f>
        <v>18</v>
      </c>
      <c r="V15" s="22" t="n">
        <f aca="false">IF(B15="","",IF(INDEX($E$7:$E$336,ROW()-6+Settings!$B$7)&lt;&gt;"",INDEX($E$7:$E$336,ROW()-6+Settings!$B$7),E15+Settings!$B$7*D15/1440))</f>
        <v>46320.4173611111</v>
      </c>
      <c r="W15" s="22" t="n">
        <f aca="false">IF(B15="","",IF(INDEX($E$7:$E$336,ROW()-6+Settings!$B$7+Settings!$B$8)&lt;&gt;"",INDEX($E$7:$E$336,ROW()-6+Settings!$B$7+Settings!$B$8),E15+(Settings!$B$7+Settings!$B$8)*D15/1440)+U15/1440)</f>
        <v>46320.5131944444</v>
      </c>
      <c r="X15" s="18" t="str">
        <f aca="false">IF(B15="","",IF(INDEX($E$7:$E$336,ROW()-6+Settings!$B$7+Settings!$B$8)&lt;&gt;"","line","estimate"))</f>
        <v>line</v>
      </c>
      <c r="Y15" s="25" t="n">
        <f aca="false">IF(B15="","",INT(W15-Settings!$B$6))</f>
        <v>46320</v>
      </c>
      <c r="Z15" s="19"/>
      <c r="AA15" s="18" t="str">
        <f aca="false">IF(B15="","",IF(AND(B15&lt;&gt;"Empty",F15=""),"part missing; ","")&amp;IF(AND(F15&lt;&gt;"",J15=""),"pieces missing; ","")&amp;IF(AND(F15&lt;&gt;"",O15=""),"part not on the Parts sheet; ","")&amp;IF(AND(B15="Empty",OR(F15&lt;&gt;"",K15&lt;&gt;"")),"empty tray with parts; ","")&amp;IF(AND(B15="Loaded",K15&lt;&gt;""),"second part: type Mixed; ","")&amp;IF(AND(Q15&lt;&gt;"",N(Q15)&gt;1),"over 100 % of the spec load; ","")&amp;IF(N(R15)&gt;Settings!$B$10,"over the tray maximum (kg); ","")&amp;IF(AND(K15&lt;&gt;"",IFERROR(INDEX(Parts!$C$6:$C$45,MATCH(K15,Parts!$A$6:$A$45,0)),O15)&lt;&gt;O15),"different processes in one tray; ","")&amp;IF(AND(S15&lt;&gt;"",T15=""),"rework reason missing; ",""))</f>
        <v/>
      </c>
    </row>
    <row r="16" customFormat="false" ht="15" hidden="false" customHeight="false" outlineLevel="0" collapsed="false">
      <c r="A16" s="18" t="n">
        <f aca="false">IF(B16="","",COUNTA(B$7:B16))</f>
        <v>10</v>
      </c>
      <c r="B16" s="19" t="s">
        <v>95</v>
      </c>
      <c r="C16" s="20"/>
      <c r="D16" s="19" t="n">
        <v>10</v>
      </c>
      <c r="E16" s="22" t="n">
        <f aca="false">IF(B16="","",IF(C16&lt;&gt;"",C16,E15+D15/1440+SUMIFS(Holds!$F$7:$F$46,Holds!$B$7:$B$46,"&gt;="&amp;E15,Holds!$B$7:$B$46,"&lt;"&amp;E15+D15/1440)/1440))</f>
        <v>46320.30625</v>
      </c>
      <c r="F16" s="19" t="s">
        <v>96</v>
      </c>
      <c r="G16" s="19" t="s">
        <v>97</v>
      </c>
      <c r="H16" s="19" t="s">
        <v>98</v>
      </c>
      <c r="I16" s="19" t="s">
        <v>99</v>
      </c>
      <c r="J16" s="19" t="n">
        <v>60</v>
      </c>
      <c r="K16" s="19"/>
      <c r="L16" s="19"/>
      <c r="M16" s="19"/>
      <c r="N16" s="19"/>
      <c r="O16" s="18" t="str">
        <f aca="false">IF(F16="","",IFERROR(INDEX(Parts!$C$6:$C$45,MATCH(F16,Parts!$A$6:$A$45,0)),""))</f>
        <v>HT</v>
      </c>
      <c r="P16" s="18" t="n">
        <f aca="false">IF(F16="","",IFERROR(INDEX(Parts!$E$6:$E$45,MATCH(F16,Parts!$A$6:$A$45,0)),""))</f>
        <v>60</v>
      </c>
      <c r="Q16" s="23" t="n">
        <f aca="false">IF(OR(J16="",P16="",P16=0),"",J16/P16+IF(OR(N16="",K16=""),0,IFERROR(N16/INDEX(Parts!$E$6:$E$45,MATCH(K16,Parts!$A$6:$A$45,0)),0)))</f>
        <v>1</v>
      </c>
      <c r="R16" s="24" t="n">
        <f aca="false">IF(B16="","",IF(J16="",0,J16*IFERROR(INDEX(Parts!$F$6:$F$45,MATCH(F16,Parts!$A$6:$A$45,0)),0))+IF(N16="",0,N16*IFERROR(INDEX(Parts!$F$6:$F$45,MATCH(K16,Parts!$A$6:$A$45,0)),0)))</f>
        <v>108</v>
      </c>
      <c r="S16" s="19"/>
      <c r="T16" s="19"/>
      <c r="U16" s="18" t="n">
        <f aca="false">IF(B16="","",IF(F16="",Settings!$B$9,IFERROR(INDEX(Parts!$H$6:$H$45,MATCH(F16,Parts!$A$6:$A$45,0))+0,Settings!$B$9)))</f>
        <v>18</v>
      </c>
      <c r="V16" s="22" t="n">
        <f aca="false">IF(B16="","",IF(INDEX($E$7:$E$336,ROW()-6+Settings!$B$7)&lt;&gt;"",INDEX($E$7:$E$336,ROW()-6+Settings!$B$7),E16+Settings!$B$7*D16/1440))</f>
        <v>46320.4243055556</v>
      </c>
      <c r="W16" s="22" t="n">
        <f aca="false">IF(B16="","",IF(INDEX($E$7:$E$336,ROW()-6+Settings!$B$7+Settings!$B$8)&lt;&gt;"",INDEX($E$7:$E$336,ROW()-6+Settings!$B$7+Settings!$B$8),E16+(Settings!$B$7+Settings!$B$8)*D16/1440)+U16/1440)</f>
        <v>46320.5201388889</v>
      </c>
      <c r="X16" s="18" t="str">
        <f aca="false">IF(B16="","",IF(INDEX($E$7:$E$336,ROW()-6+Settings!$B$7+Settings!$B$8)&lt;&gt;"","line","estimate"))</f>
        <v>line</v>
      </c>
      <c r="Y16" s="25" t="n">
        <f aca="false">IF(B16="","",INT(W16-Settings!$B$6))</f>
        <v>46320</v>
      </c>
      <c r="Z16" s="19" t="s">
        <v>101</v>
      </c>
      <c r="AA16" s="18" t="str">
        <f aca="false">IF(B16="","",IF(AND(B16&lt;&gt;"Empty",F16=""),"part missing; ","")&amp;IF(AND(F16&lt;&gt;"",J16=""),"pieces missing; ","")&amp;IF(AND(F16&lt;&gt;"",O16=""),"part not on the Parts sheet; ","")&amp;IF(AND(B16="Empty",OR(F16&lt;&gt;"",K16&lt;&gt;"")),"empty tray with parts; ","")&amp;IF(AND(B16="Loaded",K16&lt;&gt;""),"second part: type Mixed; ","")&amp;IF(AND(Q16&lt;&gt;"",N(Q16)&gt;1),"over 100 % of the spec load; ","")&amp;IF(N(R16)&gt;Settings!$B$10,"over the tray maximum (kg); ","")&amp;IF(AND(K16&lt;&gt;"",IFERROR(INDEX(Parts!$C$6:$C$45,MATCH(K16,Parts!$A$6:$A$45,0)),O16)&lt;&gt;O16),"different processes in one tray; ","")&amp;IF(AND(S16&lt;&gt;"",T16=""),"rework reason missing; ",""))</f>
        <v/>
      </c>
    </row>
    <row r="17" customFormat="false" ht="15" hidden="false" customHeight="false" outlineLevel="0" collapsed="false">
      <c r="A17" s="18" t="n">
        <f aca="false">IF(B17="","",COUNTA(B$7:B17))</f>
        <v>11</v>
      </c>
      <c r="B17" s="19" t="s">
        <v>95</v>
      </c>
      <c r="C17" s="20"/>
      <c r="D17" s="19" t="n">
        <f aca="false">IF(B17="","",IF(D16="",Report!$B$12,D16))</f>
        <v>10</v>
      </c>
      <c r="E17" s="22" t="n">
        <f aca="false">IF(B17="","",IF(C17&lt;&gt;"",C17,E16+D16/1440+SUMIFS(Holds!$F$7:$F$46,Holds!$B$7:$B$46,"&gt;="&amp;E16,Holds!$B$7:$B$46,"&lt;"&amp;E16+D16/1440)/1440))</f>
        <v>46320.3131944445</v>
      </c>
      <c r="F17" s="19" t="s">
        <v>96</v>
      </c>
      <c r="G17" s="19" t="s">
        <v>97</v>
      </c>
      <c r="H17" s="19" t="s">
        <v>98</v>
      </c>
      <c r="I17" s="19" t="s">
        <v>99</v>
      </c>
      <c r="J17" s="19" t="n">
        <v>60</v>
      </c>
      <c r="K17" s="19"/>
      <c r="L17" s="19"/>
      <c r="M17" s="19"/>
      <c r="N17" s="19"/>
      <c r="O17" s="18" t="str">
        <f aca="false">IF(F17="","",IFERROR(INDEX(Parts!$C$6:$C$45,MATCH(F17,Parts!$A$6:$A$45,0)),""))</f>
        <v>HT</v>
      </c>
      <c r="P17" s="18" t="n">
        <f aca="false">IF(F17="","",IFERROR(INDEX(Parts!$E$6:$E$45,MATCH(F17,Parts!$A$6:$A$45,0)),""))</f>
        <v>60</v>
      </c>
      <c r="Q17" s="23" t="n">
        <f aca="false">IF(OR(J17="",P17="",P17=0),"",J17/P17+IF(OR(N17="",K17=""),0,IFERROR(N17/INDEX(Parts!$E$6:$E$45,MATCH(K17,Parts!$A$6:$A$45,0)),0)))</f>
        <v>1</v>
      </c>
      <c r="R17" s="24" t="n">
        <f aca="false">IF(B17="","",IF(J17="",0,J17*IFERROR(INDEX(Parts!$F$6:$F$45,MATCH(F17,Parts!$A$6:$A$45,0)),0))+IF(N17="",0,N17*IFERROR(INDEX(Parts!$F$6:$F$45,MATCH(K17,Parts!$A$6:$A$45,0)),0)))</f>
        <v>108</v>
      </c>
      <c r="S17" s="19"/>
      <c r="T17" s="19"/>
      <c r="U17" s="18" t="n">
        <f aca="false">IF(B17="","",IF(F17="",Settings!$B$9,IFERROR(INDEX(Parts!$H$6:$H$45,MATCH(F17,Parts!$A$6:$A$45,0))+0,Settings!$B$9)))</f>
        <v>18</v>
      </c>
      <c r="V17" s="22" t="n">
        <f aca="false">IF(B17="","",IF(INDEX($E$7:$E$336,ROW()-6+Settings!$B$7)&lt;&gt;"",INDEX($E$7:$E$336,ROW()-6+Settings!$B$7),E17+Settings!$B$7*D17/1440))</f>
        <v>46320.43125</v>
      </c>
      <c r="W17" s="22" t="n">
        <f aca="false">IF(B17="","",IF(INDEX($E$7:$E$336,ROW()-6+Settings!$B$7+Settings!$B$8)&lt;&gt;"",INDEX($E$7:$E$336,ROW()-6+Settings!$B$7+Settings!$B$8),E17+(Settings!$B$7+Settings!$B$8)*D17/1440)+U17/1440)</f>
        <v>46320.5270833333</v>
      </c>
      <c r="X17" s="18" t="str">
        <f aca="false">IF(B17="","",IF(INDEX($E$7:$E$336,ROW()-6+Settings!$B$7+Settings!$B$8)&lt;&gt;"","line","estimate"))</f>
        <v>line</v>
      </c>
      <c r="Y17" s="25" t="n">
        <f aca="false">IF(B17="","",INT(W17-Settings!$B$6))</f>
        <v>46320</v>
      </c>
      <c r="Z17" s="19"/>
      <c r="AA17" s="18" t="str">
        <f aca="false">IF(B17="","",IF(AND(B17&lt;&gt;"Empty",F17=""),"part missing; ","")&amp;IF(AND(F17&lt;&gt;"",J17=""),"pieces missing; ","")&amp;IF(AND(F17&lt;&gt;"",O17=""),"part not on the Parts sheet; ","")&amp;IF(AND(B17="Empty",OR(F17&lt;&gt;"",K17&lt;&gt;"")),"empty tray with parts; ","")&amp;IF(AND(B17="Loaded",K17&lt;&gt;""),"second part: type Mixed; ","")&amp;IF(AND(Q17&lt;&gt;"",N(Q17)&gt;1),"over 100 % of the spec load; ","")&amp;IF(N(R17)&gt;Settings!$B$10,"over the tray maximum (kg); ","")&amp;IF(AND(K17&lt;&gt;"",IFERROR(INDEX(Parts!$C$6:$C$45,MATCH(K17,Parts!$A$6:$A$45,0)),O17)&lt;&gt;O17),"different processes in one tray; ","")&amp;IF(AND(S17&lt;&gt;"",T17=""),"rework reason missing; ",""))</f>
        <v/>
      </c>
    </row>
    <row r="18" customFormat="false" ht="15" hidden="false" customHeight="false" outlineLevel="0" collapsed="false">
      <c r="A18" s="18" t="n">
        <f aca="false">IF(B18="","",COUNTA(B$7:B18))</f>
        <v>12</v>
      </c>
      <c r="B18" s="19" t="s">
        <v>95</v>
      </c>
      <c r="C18" s="20"/>
      <c r="D18" s="19" t="n">
        <f aca="false">IF(B18="","",IF(D17="",Report!$B$12,D17))</f>
        <v>10</v>
      </c>
      <c r="E18" s="22" t="n">
        <f aca="false">IF(B18="","",IF(C18&lt;&gt;"",C18,E17+D17/1440+SUMIFS(Holds!$F$7:$F$46,Holds!$B$7:$B$46,"&gt;="&amp;E17,Holds!$B$7:$B$46,"&lt;"&amp;E17+D17/1440)/1440))</f>
        <v>46320.3201388889</v>
      </c>
      <c r="F18" s="19" t="s">
        <v>96</v>
      </c>
      <c r="G18" s="19" t="s">
        <v>97</v>
      </c>
      <c r="H18" s="19" t="s">
        <v>98</v>
      </c>
      <c r="I18" s="19" t="s">
        <v>99</v>
      </c>
      <c r="J18" s="19" t="n">
        <v>60</v>
      </c>
      <c r="K18" s="19"/>
      <c r="L18" s="19"/>
      <c r="M18" s="19"/>
      <c r="N18" s="19"/>
      <c r="O18" s="18" t="str">
        <f aca="false">IF(F18="","",IFERROR(INDEX(Parts!$C$6:$C$45,MATCH(F18,Parts!$A$6:$A$45,0)),""))</f>
        <v>HT</v>
      </c>
      <c r="P18" s="18" t="n">
        <f aca="false">IF(F18="","",IFERROR(INDEX(Parts!$E$6:$E$45,MATCH(F18,Parts!$A$6:$A$45,0)),""))</f>
        <v>60</v>
      </c>
      <c r="Q18" s="23" t="n">
        <f aca="false">IF(OR(J18="",P18="",P18=0),"",J18/P18+IF(OR(N18="",K18=""),0,IFERROR(N18/INDEX(Parts!$E$6:$E$45,MATCH(K18,Parts!$A$6:$A$45,0)),0)))</f>
        <v>1</v>
      </c>
      <c r="R18" s="24" t="n">
        <f aca="false">IF(B18="","",IF(J18="",0,J18*IFERROR(INDEX(Parts!$F$6:$F$45,MATCH(F18,Parts!$A$6:$A$45,0)),0))+IF(N18="",0,N18*IFERROR(INDEX(Parts!$F$6:$F$45,MATCH(K18,Parts!$A$6:$A$45,0)),0)))</f>
        <v>108</v>
      </c>
      <c r="S18" s="19"/>
      <c r="T18" s="19"/>
      <c r="U18" s="18" t="n">
        <f aca="false">IF(B18="","",IF(F18="",Settings!$B$9,IFERROR(INDEX(Parts!$H$6:$H$45,MATCH(F18,Parts!$A$6:$A$45,0))+0,Settings!$B$9)))</f>
        <v>18</v>
      </c>
      <c r="V18" s="22" t="n">
        <f aca="false">IF(B18="","",IF(INDEX($E$7:$E$336,ROW()-6+Settings!$B$7)&lt;&gt;"",INDEX($E$7:$E$336,ROW()-6+Settings!$B$7),E18+Settings!$B$7*D18/1440))</f>
        <v>46320.4381944445</v>
      </c>
      <c r="W18" s="22" t="n">
        <f aca="false">IF(B18="","",IF(INDEX($E$7:$E$336,ROW()-6+Settings!$B$7+Settings!$B$8)&lt;&gt;"",INDEX($E$7:$E$336,ROW()-6+Settings!$B$7+Settings!$B$8),E18+(Settings!$B$7+Settings!$B$8)*D18/1440)+U18/1440)</f>
        <v>46320.5340277778</v>
      </c>
      <c r="X18" s="18" t="str">
        <f aca="false">IF(B18="","",IF(INDEX($E$7:$E$336,ROW()-6+Settings!$B$7+Settings!$B$8)&lt;&gt;"","line","estimate"))</f>
        <v>line</v>
      </c>
      <c r="Y18" s="25" t="n">
        <f aca="false">IF(B18="","",INT(W18-Settings!$B$6))</f>
        <v>46320</v>
      </c>
      <c r="Z18" s="19"/>
      <c r="AA18" s="18" t="str">
        <f aca="false">IF(B18="","",IF(AND(B18&lt;&gt;"Empty",F18=""),"part missing; ","")&amp;IF(AND(F18&lt;&gt;"",J18=""),"pieces missing; ","")&amp;IF(AND(F18&lt;&gt;"",O18=""),"part not on the Parts sheet; ","")&amp;IF(AND(B18="Empty",OR(F18&lt;&gt;"",K18&lt;&gt;"")),"empty tray with parts; ","")&amp;IF(AND(B18="Loaded",K18&lt;&gt;""),"second part: type Mixed; ","")&amp;IF(AND(Q18&lt;&gt;"",N(Q18)&gt;1),"over 100 % of the spec load; ","")&amp;IF(N(R18)&gt;Settings!$B$10,"over the tray maximum (kg); ","")&amp;IF(AND(K18&lt;&gt;"",IFERROR(INDEX(Parts!$C$6:$C$45,MATCH(K18,Parts!$A$6:$A$45,0)),O18)&lt;&gt;O18),"different processes in one tray; ","")&amp;IF(AND(S18&lt;&gt;"",T18=""),"rework reason missing; ",""))</f>
        <v/>
      </c>
    </row>
    <row r="19" customFormat="false" ht="15" hidden="false" customHeight="false" outlineLevel="0" collapsed="false">
      <c r="A19" s="18" t="n">
        <f aca="false">IF(B19="","",COUNTA(B$7:B19))</f>
        <v>13</v>
      </c>
      <c r="B19" s="19" t="s">
        <v>95</v>
      </c>
      <c r="C19" s="20"/>
      <c r="D19" s="19" t="n">
        <f aca="false">IF(B19="","",IF(D18="",Report!$B$12,D18))</f>
        <v>10</v>
      </c>
      <c r="E19" s="22" t="n">
        <f aca="false">IF(B19="","",IF(C19&lt;&gt;"",C19,E18+D18/1440+SUMIFS(Holds!$F$7:$F$46,Holds!$B$7:$B$46,"&gt;="&amp;E18,Holds!$B$7:$B$46,"&lt;"&amp;E18+D18/1440)/1440))</f>
        <v>46320.3270833333</v>
      </c>
      <c r="F19" s="19" t="s">
        <v>96</v>
      </c>
      <c r="G19" s="19" t="s">
        <v>97</v>
      </c>
      <c r="H19" s="19" t="s">
        <v>98</v>
      </c>
      <c r="I19" s="19" t="s">
        <v>99</v>
      </c>
      <c r="J19" s="19" t="n">
        <v>60</v>
      </c>
      <c r="K19" s="19"/>
      <c r="L19" s="19"/>
      <c r="M19" s="19"/>
      <c r="N19" s="19"/>
      <c r="O19" s="18" t="str">
        <f aca="false">IF(F19="","",IFERROR(INDEX(Parts!$C$6:$C$45,MATCH(F19,Parts!$A$6:$A$45,0)),""))</f>
        <v>HT</v>
      </c>
      <c r="P19" s="18" t="n">
        <f aca="false">IF(F19="","",IFERROR(INDEX(Parts!$E$6:$E$45,MATCH(F19,Parts!$A$6:$A$45,0)),""))</f>
        <v>60</v>
      </c>
      <c r="Q19" s="23" t="n">
        <f aca="false">IF(OR(J19="",P19="",P19=0),"",J19/P19+IF(OR(N19="",K19=""),0,IFERROR(N19/INDEX(Parts!$E$6:$E$45,MATCH(K19,Parts!$A$6:$A$45,0)),0)))</f>
        <v>1</v>
      </c>
      <c r="R19" s="24" t="n">
        <f aca="false">IF(B19="","",IF(J19="",0,J19*IFERROR(INDEX(Parts!$F$6:$F$45,MATCH(F19,Parts!$A$6:$A$45,0)),0))+IF(N19="",0,N19*IFERROR(INDEX(Parts!$F$6:$F$45,MATCH(K19,Parts!$A$6:$A$45,0)),0)))</f>
        <v>108</v>
      </c>
      <c r="S19" s="19"/>
      <c r="T19" s="19"/>
      <c r="U19" s="18" t="n">
        <f aca="false">IF(B19="","",IF(F19="",Settings!$B$9,IFERROR(INDEX(Parts!$H$6:$H$45,MATCH(F19,Parts!$A$6:$A$45,0))+0,Settings!$B$9)))</f>
        <v>18</v>
      </c>
      <c r="V19" s="22" t="n">
        <f aca="false">IF(B19="","",IF(INDEX($E$7:$E$336,ROW()-6+Settings!$B$7)&lt;&gt;"",INDEX($E$7:$E$336,ROW()-6+Settings!$B$7),E19+Settings!$B$7*D19/1440))</f>
        <v>46320.4451388889</v>
      </c>
      <c r="W19" s="22" t="n">
        <f aca="false">IF(B19="","",IF(INDEX($E$7:$E$336,ROW()-6+Settings!$B$7+Settings!$B$8)&lt;&gt;"",INDEX($E$7:$E$336,ROW()-6+Settings!$B$7+Settings!$B$8),E19+(Settings!$B$7+Settings!$B$8)*D19/1440)+U19/1440)</f>
        <v>46320.5409722222</v>
      </c>
      <c r="X19" s="18" t="str">
        <f aca="false">IF(B19="","",IF(INDEX($E$7:$E$336,ROW()-6+Settings!$B$7+Settings!$B$8)&lt;&gt;"","line","estimate"))</f>
        <v>line</v>
      </c>
      <c r="Y19" s="25" t="n">
        <f aca="false">IF(B19="","",INT(W19-Settings!$B$6))</f>
        <v>46320</v>
      </c>
      <c r="Z19" s="19"/>
      <c r="AA19" s="18" t="str">
        <f aca="false">IF(B19="","",IF(AND(B19&lt;&gt;"Empty",F19=""),"part missing; ","")&amp;IF(AND(F19&lt;&gt;"",J19=""),"pieces missing; ","")&amp;IF(AND(F19&lt;&gt;"",O19=""),"part not on the Parts sheet; ","")&amp;IF(AND(B19="Empty",OR(F19&lt;&gt;"",K19&lt;&gt;"")),"empty tray with parts; ","")&amp;IF(AND(B19="Loaded",K19&lt;&gt;""),"second part: type Mixed; ","")&amp;IF(AND(Q19&lt;&gt;"",N(Q19)&gt;1),"over 100 % of the spec load; ","")&amp;IF(N(R19)&gt;Settings!$B$10,"over the tray maximum (kg); ","")&amp;IF(AND(K19&lt;&gt;"",IFERROR(INDEX(Parts!$C$6:$C$45,MATCH(K19,Parts!$A$6:$A$45,0)),O19)&lt;&gt;O19),"different processes in one tray; ","")&amp;IF(AND(S19&lt;&gt;"",T19=""),"rework reason missing; ",""))</f>
        <v/>
      </c>
    </row>
    <row r="20" customFormat="false" ht="15" hidden="false" customHeight="false" outlineLevel="0" collapsed="false">
      <c r="A20" s="18" t="n">
        <f aca="false">IF(B20="","",COUNTA(B$7:B20))</f>
        <v>14</v>
      </c>
      <c r="B20" s="19" t="s">
        <v>95</v>
      </c>
      <c r="C20" s="20"/>
      <c r="D20" s="19" t="n">
        <f aca="false">IF(B20="","",IF(D19="",Report!$B$12,D19))</f>
        <v>10</v>
      </c>
      <c r="E20" s="22" t="n">
        <f aca="false">IF(B20="","",IF(C20&lt;&gt;"",C20,E19+D19/1440+SUMIFS(Holds!$F$7:$F$46,Holds!$B$7:$B$46,"&gt;="&amp;E19,Holds!$B$7:$B$46,"&lt;"&amp;E19+D19/1440)/1440))</f>
        <v>46320.3340277778</v>
      </c>
      <c r="F20" s="19" t="s">
        <v>96</v>
      </c>
      <c r="G20" s="19" t="s">
        <v>97</v>
      </c>
      <c r="H20" s="19" t="s">
        <v>98</v>
      </c>
      <c r="I20" s="19" t="s">
        <v>99</v>
      </c>
      <c r="J20" s="19" t="n">
        <v>60</v>
      </c>
      <c r="K20" s="19"/>
      <c r="L20" s="19"/>
      <c r="M20" s="19"/>
      <c r="N20" s="19"/>
      <c r="O20" s="18" t="str">
        <f aca="false">IF(F20="","",IFERROR(INDEX(Parts!$C$6:$C$45,MATCH(F20,Parts!$A$6:$A$45,0)),""))</f>
        <v>HT</v>
      </c>
      <c r="P20" s="18" t="n">
        <f aca="false">IF(F20="","",IFERROR(INDEX(Parts!$E$6:$E$45,MATCH(F20,Parts!$A$6:$A$45,0)),""))</f>
        <v>60</v>
      </c>
      <c r="Q20" s="23" t="n">
        <f aca="false">IF(OR(J20="",P20="",P20=0),"",J20/P20+IF(OR(N20="",K20=""),0,IFERROR(N20/INDEX(Parts!$E$6:$E$45,MATCH(K20,Parts!$A$6:$A$45,0)),0)))</f>
        <v>1</v>
      </c>
      <c r="R20" s="24" t="n">
        <f aca="false">IF(B20="","",IF(J20="",0,J20*IFERROR(INDEX(Parts!$F$6:$F$45,MATCH(F20,Parts!$A$6:$A$45,0)),0))+IF(N20="",0,N20*IFERROR(INDEX(Parts!$F$6:$F$45,MATCH(K20,Parts!$A$6:$A$45,0)),0)))</f>
        <v>108</v>
      </c>
      <c r="S20" s="19"/>
      <c r="T20" s="19"/>
      <c r="U20" s="18" t="n">
        <f aca="false">IF(B20="","",IF(F20="",Settings!$B$9,IFERROR(INDEX(Parts!$H$6:$H$45,MATCH(F20,Parts!$A$6:$A$45,0))+0,Settings!$B$9)))</f>
        <v>18</v>
      </c>
      <c r="V20" s="22" t="n">
        <f aca="false">IF(B20="","",IF(INDEX($E$7:$E$336,ROW()-6+Settings!$B$7)&lt;&gt;"",INDEX($E$7:$E$336,ROW()-6+Settings!$B$7),E20+Settings!$B$7*D20/1440))</f>
        <v>46320.4520833333</v>
      </c>
      <c r="W20" s="22" t="n">
        <f aca="false">IF(B20="","",IF(INDEX($E$7:$E$336,ROW()-6+Settings!$B$7+Settings!$B$8)&lt;&gt;"",INDEX($E$7:$E$336,ROW()-6+Settings!$B$7+Settings!$B$8),E20+(Settings!$B$7+Settings!$B$8)*D20/1440)+U20/1440)</f>
        <v>46320.5479166667</v>
      </c>
      <c r="X20" s="18" t="str">
        <f aca="false">IF(B20="","",IF(INDEX($E$7:$E$336,ROW()-6+Settings!$B$7+Settings!$B$8)&lt;&gt;"","line","estimate"))</f>
        <v>line</v>
      </c>
      <c r="Y20" s="25" t="n">
        <f aca="false">IF(B20="","",INT(W20-Settings!$B$6))</f>
        <v>46320</v>
      </c>
      <c r="Z20" s="19"/>
      <c r="AA20" s="18" t="str">
        <f aca="false">IF(B20="","",IF(AND(B20&lt;&gt;"Empty",F20=""),"part missing; ","")&amp;IF(AND(F20&lt;&gt;"",J20=""),"pieces missing; ","")&amp;IF(AND(F20&lt;&gt;"",O20=""),"part not on the Parts sheet; ","")&amp;IF(AND(B20="Empty",OR(F20&lt;&gt;"",K20&lt;&gt;"")),"empty tray with parts; ","")&amp;IF(AND(B20="Loaded",K20&lt;&gt;""),"second part: type Mixed; ","")&amp;IF(AND(Q20&lt;&gt;"",N(Q20)&gt;1),"over 100 % of the spec load; ","")&amp;IF(N(R20)&gt;Settings!$B$10,"over the tray maximum (kg); ","")&amp;IF(AND(K20&lt;&gt;"",IFERROR(INDEX(Parts!$C$6:$C$45,MATCH(K20,Parts!$A$6:$A$45,0)),O20)&lt;&gt;O20),"different processes in one tray; ","")&amp;IF(AND(S20&lt;&gt;"",T20=""),"rework reason missing; ",""))</f>
        <v/>
      </c>
    </row>
    <row r="21" customFormat="false" ht="15" hidden="false" customHeight="false" outlineLevel="0" collapsed="false">
      <c r="A21" s="18" t="n">
        <f aca="false">IF(B21="","",COUNTA(B$7:B21))</f>
        <v>15</v>
      </c>
      <c r="B21" s="19" t="s">
        <v>102</v>
      </c>
      <c r="C21" s="20"/>
      <c r="D21" s="19" t="n">
        <f aca="false">IF(B21="","",IF(D20="",Report!$B$12,D20))</f>
        <v>10</v>
      </c>
      <c r="E21" s="22" t="n">
        <f aca="false">IF(B21="","",IF(C21&lt;&gt;"",C21,E20+D20/1440+SUMIFS(Holds!$F$7:$F$46,Holds!$B$7:$B$46,"&gt;="&amp;E20,Holds!$B$7:$B$46,"&lt;"&amp;E20+D20/1440)/1440))</f>
        <v>46320.3409722222</v>
      </c>
      <c r="F21" s="19"/>
      <c r="G21" s="19"/>
      <c r="H21" s="19"/>
      <c r="I21" s="19"/>
      <c r="J21" s="19"/>
      <c r="K21" s="19"/>
      <c r="L21" s="19"/>
      <c r="M21" s="19"/>
      <c r="N21" s="19"/>
      <c r="O21" s="18" t="str">
        <f aca="false">IF(F21="","",IFERROR(INDEX(Parts!$C$6:$C$45,MATCH(F21,Parts!$A$6:$A$45,0)),""))</f>
        <v/>
      </c>
      <c r="P21" s="18" t="str">
        <f aca="false">IF(F21="","",IFERROR(INDEX(Parts!$E$6:$E$45,MATCH(F21,Parts!$A$6:$A$45,0)),""))</f>
        <v/>
      </c>
      <c r="Q21" s="23" t="str">
        <f aca="false">IF(OR(J21="",P21="",P21=0),"",J21/P21+IF(OR(N21="",K21=""),0,IFERROR(N21/INDEX(Parts!$E$6:$E$45,MATCH(K21,Parts!$A$6:$A$45,0)),0)))</f>
        <v/>
      </c>
      <c r="R21" s="24" t="n">
        <f aca="false">IF(B21="","",IF(J21="",0,J21*IFERROR(INDEX(Parts!$F$6:$F$45,MATCH(F21,Parts!$A$6:$A$45,0)),0))+IF(N21="",0,N21*IFERROR(INDEX(Parts!$F$6:$F$45,MATCH(K21,Parts!$A$6:$A$45,0)),0)))</f>
        <v>0</v>
      </c>
      <c r="S21" s="19"/>
      <c r="T21" s="19"/>
      <c r="U21" s="26" t="n">
        <f aca="false">IF(B21="","",IF(F21="",Settings!$B$9,IFERROR(INDEX(Parts!$H$6:$H$45,MATCH(F21,Parts!$A$6:$A$45,0))+0,Settings!$B$9)))</f>
        <v>18</v>
      </c>
      <c r="V21" s="22" t="n">
        <f aca="false">IF(B21="","",IF(INDEX($E$7:$E$336,ROW()-6+Settings!$B$7)&lt;&gt;"",INDEX($E$7:$E$336,ROW()-6+Settings!$B$7),E21+Settings!$B$7*D21/1440))</f>
        <v>46320.4590277778</v>
      </c>
      <c r="W21" s="22" t="n">
        <f aca="false">IF(B21="","",IF(INDEX($E$7:$E$336,ROW()-6+Settings!$B$7+Settings!$B$8)&lt;&gt;"",INDEX($E$7:$E$336,ROW()-6+Settings!$B$7+Settings!$B$8),E21+(Settings!$B$7+Settings!$B$8)*D21/1440)+U21/1440)</f>
        <v>46320.5548611111</v>
      </c>
      <c r="X21" s="18" t="str">
        <f aca="false">IF(B21="","",IF(INDEX($E$7:$E$336,ROW()-6+Settings!$B$7+Settings!$B$8)&lt;&gt;"","line","estimate"))</f>
        <v>line</v>
      </c>
      <c r="Y21" s="25" t="n">
        <f aca="false">IF(B21="","",INT(W21-Settings!$B$6))</f>
        <v>46320</v>
      </c>
      <c r="Z21" s="19"/>
      <c r="AA21" s="18" t="str">
        <f aca="false">IF(B21="","",IF(AND(B21&lt;&gt;"Empty",F21=""),"part missing; ","")&amp;IF(AND(F21&lt;&gt;"",J21=""),"pieces missing; ","")&amp;IF(AND(F21&lt;&gt;"",O21=""),"part not on the Parts sheet; ","")&amp;IF(AND(B21="Empty",OR(F21&lt;&gt;"",K21&lt;&gt;"")),"empty tray with parts; ","")&amp;IF(AND(B21="Loaded",K21&lt;&gt;""),"second part: type Mixed; ","")&amp;IF(AND(Q21&lt;&gt;"",N(Q21)&gt;1),"over 100 % of the spec load; ","")&amp;IF(N(R21)&gt;Settings!$B$10,"over the tray maximum (kg); ","")&amp;IF(AND(K21&lt;&gt;"",IFERROR(INDEX(Parts!$C$6:$C$45,MATCH(K21,Parts!$A$6:$A$45,0)),O21)&lt;&gt;O21),"different processes in one tray; ","")&amp;IF(AND(S21&lt;&gt;"",T21=""),"rework reason missing; ",""))</f>
        <v/>
      </c>
    </row>
    <row r="22" customFormat="false" ht="15" hidden="false" customHeight="false" outlineLevel="0" collapsed="false">
      <c r="A22" s="18" t="n">
        <f aca="false">IF(B22="","",COUNTA(B$7:B22))</f>
        <v>16</v>
      </c>
      <c r="B22" s="19" t="s">
        <v>95</v>
      </c>
      <c r="C22" s="20"/>
      <c r="D22" s="19" t="n">
        <f aca="false">IF(B22="","",IF(D21="",Report!$B$12,D21))</f>
        <v>10</v>
      </c>
      <c r="E22" s="22" t="n">
        <f aca="false">IF(B22="","",IF(C22&lt;&gt;"",C22,E21+D21/1440+SUMIFS(Holds!$F$7:$F$46,Holds!$B$7:$B$46,"&gt;="&amp;E21,Holds!$B$7:$B$46,"&lt;"&amp;E21+D21/1440)/1440))</f>
        <v>46320.3479166667</v>
      </c>
      <c r="F22" s="19" t="s">
        <v>103</v>
      </c>
      <c r="G22" s="19" t="s">
        <v>104</v>
      </c>
      <c r="H22" s="19" t="s">
        <v>105</v>
      </c>
      <c r="I22" s="19" t="s">
        <v>64</v>
      </c>
      <c r="J22" s="19" t="n">
        <v>30</v>
      </c>
      <c r="K22" s="19"/>
      <c r="L22" s="19"/>
      <c r="M22" s="19"/>
      <c r="N22" s="19"/>
      <c r="O22" s="18" t="str">
        <f aca="false">IF(F22="","",IFERROR(INDEX(Parts!$C$6:$C$45,MATCH(F22,Parts!$A$6:$A$45,0)),""))</f>
        <v>NORM</v>
      </c>
      <c r="P22" s="18" t="n">
        <f aca="false">IF(F22="","",IFERROR(INDEX(Parts!$E$6:$E$45,MATCH(F22,Parts!$A$6:$A$45,0)),""))</f>
        <v>30</v>
      </c>
      <c r="Q22" s="23" t="n">
        <f aca="false">IF(OR(J22="",P22="",P22=0),"",J22/P22+IF(OR(N22="",K22=""),0,IFERROR(N22/INDEX(Parts!$E$6:$E$45,MATCH(K22,Parts!$A$6:$A$45,0)),0)))</f>
        <v>1</v>
      </c>
      <c r="R22" s="24" t="n">
        <f aca="false">IF(B22="","",IF(J22="",0,J22*IFERROR(INDEX(Parts!$F$6:$F$45,MATCH(F22,Parts!$A$6:$A$45,0)),0))+IF(N22="",0,N22*IFERROR(INDEX(Parts!$F$6:$F$45,MATCH(K22,Parts!$A$6:$A$45,0)),0)))</f>
        <v>66</v>
      </c>
      <c r="S22" s="19"/>
      <c r="T22" s="19"/>
      <c r="U22" s="18" t="n">
        <f aca="false">IF(B22="","",IF(F22="",Settings!$B$9,IFERROR(INDEX(Parts!$H$6:$H$45,MATCH(F22,Parts!$A$6:$A$45,0))+0,Settings!$B$9)))</f>
        <v>18</v>
      </c>
      <c r="V22" s="22" t="n">
        <f aca="false">IF(B22="","",IF(INDEX($E$7:$E$336,ROW()-6+Settings!$B$7)&lt;&gt;"",INDEX($E$7:$E$336,ROW()-6+Settings!$B$7),E22+Settings!$B$7*D22/1440))</f>
        <v>46320.4659722222</v>
      </c>
      <c r="W22" s="22" t="n">
        <f aca="false">IF(B22="","",IF(INDEX($E$7:$E$336,ROW()-6+Settings!$B$7+Settings!$B$8)&lt;&gt;"",INDEX($E$7:$E$336,ROW()-6+Settings!$B$7+Settings!$B$8),E22+(Settings!$B$7+Settings!$B$8)*D22/1440)+U22/1440)</f>
        <v>46320.5618055556</v>
      </c>
      <c r="X22" s="18" t="str">
        <f aca="false">IF(B22="","",IF(INDEX($E$7:$E$336,ROW()-6+Settings!$B$7+Settings!$B$8)&lt;&gt;"","line","estimate"))</f>
        <v>line</v>
      </c>
      <c r="Y22" s="25" t="n">
        <f aca="false">IF(B22="","",INT(W22-Settings!$B$6))</f>
        <v>46320</v>
      </c>
      <c r="Z22" s="19"/>
      <c r="AA22" s="18" t="str">
        <f aca="false">IF(B22="","",IF(AND(B22&lt;&gt;"Empty",F22=""),"part missing; ","")&amp;IF(AND(F22&lt;&gt;"",J22=""),"pieces missing; ","")&amp;IF(AND(F22&lt;&gt;"",O22=""),"part not on the Parts sheet; ","")&amp;IF(AND(B22="Empty",OR(F22&lt;&gt;"",K22&lt;&gt;"")),"empty tray with parts; ","")&amp;IF(AND(B22="Loaded",K22&lt;&gt;""),"second part: type Mixed; ","")&amp;IF(AND(Q22&lt;&gt;"",N(Q22)&gt;1),"over 100 % of the spec load; ","")&amp;IF(N(R22)&gt;Settings!$B$10,"over the tray maximum (kg); ","")&amp;IF(AND(K22&lt;&gt;"",IFERROR(INDEX(Parts!$C$6:$C$45,MATCH(K22,Parts!$A$6:$A$45,0)),O22)&lt;&gt;O22),"different processes in one tray; ","")&amp;IF(AND(S22&lt;&gt;"",T22=""),"rework reason missing; ",""))</f>
        <v/>
      </c>
    </row>
    <row r="23" customFormat="false" ht="15" hidden="false" customHeight="false" outlineLevel="0" collapsed="false">
      <c r="A23" s="18" t="n">
        <f aca="false">IF(B23="","",COUNTA(B$7:B23))</f>
        <v>17</v>
      </c>
      <c r="B23" s="19" t="s">
        <v>95</v>
      </c>
      <c r="C23" s="20"/>
      <c r="D23" s="19" t="n">
        <f aca="false">IF(B23="","",IF(D22="",Report!$B$12,D22))</f>
        <v>10</v>
      </c>
      <c r="E23" s="22" t="n">
        <f aca="false">IF(B23="","",IF(C23&lt;&gt;"",C23,E22+D22/1440+SUMIFS(Holds!$F$7:$F$46,Holds!$B$7:$B$46,"&gt;="&amp;E22,Holds!$B$7:$B$46,"&lt;"&amp;E22+D22/1440)/1440))</f>
        <v>46320.3548611111</v>
      </c>
      <c r="F23" s="19" t="s">
        <v>103</v>
      </c>
      <c r="G23" s="19" t="s">
        <v>104</v>
      </c>
      <c r="H23" s="19" t="s">
        <v>105</v>
      </c>
      <c r="I23" s="19" t="s">
        <v>64</v>
      </c>
      <c r="J23" s="19" t="n">
        <v>30</v>
      </c>
      <c r="K23" s="19"/>
      <c r="L23" s="19"/>
      <c r="M23" s="19"/>
      <c r="N23" s="19"/>
      <c r="O23" s="18" t="str">
        <f aca="false">IF(F23="","",IFERROR(INDEX(Parts!$C$6:$C$45,MATCH(F23,Parts!$A$6:$A$45,0)),""))</f>
        <v>NORM</v>
      </c>
      <c r="P23" s="18" t="n">
        <f aca="false">IF(F23="","",IFERROR(INDEX(Parts!$E$6:$E$45,MATCH(F23,Parts!$A$6:$A$45,0)),""))</f>
        <v>30</v>
      </c>
      <c r="Q23" s="23" t="n">
        <f aca="false">IF(OR(J23="",P23="",P23=0),"",J23/P23+IF(OR(N23="",K23=""),0,IFERROR(N23/INDEX(Parts!$E$6:$E$45,MATCH(K23,Parts!$A$6:$A$45,0)),0)))</f>
        <v>1</v>
      </c>
      <c r="R23" s="24" t="n">
        <f aca="false">IF(B23="","",IF(J23="",0,J23*IFERROR(INDEX(Parts!$F$6:$F$45,MATCH(F23,Parts!$A$6:$A$45,0)),0))+IF(N23="",0,N23*IFERROR(INDEX(Parts!$F$6:$F$45,MATCH(K23,Parts!$A$6:$A$45,0)),0)))</f>
        <v>66</v>
      </c>
      <c r="S23" s="19"/>
      <c r="T23" s="19"/>
      <c r="U23" s="18" t="n">
        <f aca="false">IF(B23="","",IF(F23="",Settings!$B$9,IFERROR(INDEX(Parts!$H$6:$H$45,MATCH(F23,Parts!$A$6:$A$45,0))+0,Settings!$B$9)))</f>
        <v>18</v>
      </c>
      <c r="V23" s="22" t="n">
        <f aca="false">IF(B23="","",IF(INDEX($E$7:$E$336,ROW()-6+Settings!$B$7)&lt;&gt;"",INDEX($E$7:$E$336,ROW()-6+Settings!$B$7),E23+Settings!$B$7*D23/1440))</f>
        <v>46320.4729166667</v>
      </c>
      <c r="W23" s="22" t="n">
        <f aca="false">IF(B23="","",IF(INDEX($E$7:$E$336,ROW()-6+Settings!$B$7+Settings!$B$8)&lt;&gt;"",INDEX($E$7:$E$336,ROW()-6+Settings!$B$7+Settings!$B$8),E23+(Settings!$B$7+Settings!$B$8)*D23/1440)+U23/1440)</f>
        <v>46320.56875</v>
      </c>
      <c r="X23" s="18" t="str">
        <f aca="false">IF(B23="","",IF(INDEX($E$7:$E$336,ROW()-6+Settings!$B$7+Settings!$B$8)&lt;&gt;"","line","estimate"))</f>
        <v>line</v>
      </c>
      <c r="Y23" s="25" t="n">
        <f aca="false">IF(B23="","",INT(W23-Settings!$B$6))</f>
        <v>46320</v>
      </c>
      <c r="Z23" s="19"/>
      <c r="AA23" s="18" t="str">
        <f aca="false">IF(B23="","",IF(AND(B23&lt;&gt;"Empty",F23=""),"part missing; ","")&amp;IF(AND(F23&lt;&gt;"",J23=""),"pieces missing; ","")&amp;IF(AND(F23&lt;&gt;"",O23=""),"part not on the Parts sheet; ","")&amp;IF(AND(B23="Empty",OR(F23&lt;&gt;"",K23&lt;&gt;"")),"empty tray with parts; ","")&amp;IF(AND(B23="Loaded",K23&lt;&gt;""),"second part: type Mixed; ","")&amp;IF(AND(Q23&lt;&gt;"",N(Q23)&gt;1),"over 100 % of the spec load; ","")&amp;IF(N(R23)&gt;Settings!$B$10,"over the tray maximum (kg); ","")&amp;IF(AND(K23&lt;&gt;"",IFERROR(INDEX(Parts!$C$6:$C$45,MATCH(K23,Parts!$A$6:$A$45,0)),O23)&lt;&gt;O23),"different processes in one tray; ","")&amp;IF(AND(S23&lt;&gt;"",T23=""),"rework reason missing; ",""))</f>
        <v/>
      </c>
    </row>
    <row r="24" customFormat="false" ht="15" hidden="false" customHeight="false" outlineLevel="0" collapsed="false">
      <c r="A24" s="18" t="n">
        <f aca="false">IF(B24="","",COUNTA(B$7:B24))</f>
        <v>18</v>
      </c>
      <c r="B24" s="19" t="s">
        <v>95</v>
      </c>
      <c r="C24" s="20"/>
      <c r="D24" s="19" t="n">
        <f aca="false">IF(B24="","",IF(D23="",Report!$B$12,D23))</f>
        <v>10</v>
      </c>
      <c r="E24" s="22" t="n">
        <f aca="false">IF(B24="","",IF(C24&lt;&gt;"",C24,E23+D23/1440+SUMIFS(Holds!$F$7:$F$46,Holds!$B$7:$B$46,"&gt;="&amp;E23,Holds!$B$7:$B$46,"&lt;"&amp;E23+D23/1440)/1440))</f>
        <v>46320.3618055556</v>
      </c>
      <c r="F24" s="19" t="s">
        <v>103</v>
      </c>
      <c r="G24" s="19" t="s">
        <v>104</v>
      </c>
      <c r="H24" s="19" t="s">
        <v>105</v>
      </c>
      <c r="I24" s="19" t="s">
        <v>64</v>
      </c>
      <c r="J24" s="19" t="n">
        <v>30</v>
      </c>
      <c r="K24" s="19"/>
      <c r="L24" s="19"/>
      <c r="M24" s="19"/>
      <c r="N24" s="19"/>
      <c r="O24" s="18" t="str">
        <f aca="false">IF(F24="","",IFERROR(INDEX(Parts!$C$6:$C$45,MATCH(F24,Parts!$A$6:$A$45,0)),""))</f>
        <v>NORM</v>
      </c>
      <c r="P24" s="18" t="n">
        <f aca="false">IF(F24="","",IFERROR(INDEX(Parts!$E$6:$E$45,MATCH(F24,Parts!$A$6:$A$45,0)),""))</f>
        <v>30</v>
      </c>
      <c r="Q24" s="23" t="n">
        <f aca="false">IF(OR(J24="",P24="",P24=0),"",J24/P24+IF(OR(N24="",K24=""),0,IFERROR(N24/INDEX(Parts!$E$6:$E$45,MATCH(K24,Parts!$A$6:$A$45,0)),0)))</f>
        <v>1</v>
      </c>
      <c r="R24" s="24" t="n">
        <f aca="false">IF(B24="","",IF(J24="",0,J24*IFERROR(INDEX(Parts!$F$6:$F$45,MATCH(F24,Parts!$A$6:$A$45,0)),0))+IF(N24="",0,N24*IFERROR(INDEX(Parts!$F$6:$F$45,MATCH(K24,Parts!$A$6:$A$45,0)),0)))</f>
        <v>66</v>
      </c>
      <c r="S24" s="19"/>
      <c r="T24" s="19"/>
      <c r="U24" s="18" t="n">
        <f aca="false">IF(B24="","",IF(F24="",Settings!$B$9,IFERROR(INDEX(Parts!$H$6:$H$45,MATCH(F24,Parts!$A$6:$A$45,0))+0,Settings!$B$9)))</f>
        <v>18</v>
      </c>
      <c r="V24" s="22" t="n">
        <f aca="false">IF(B24="","",IF(INDEX($E$7:$E$336,ROW()-6+Settings!$B$7)&lt;&gt;"",INDEX($E$7:$E$336,ROW()-6+Settings!$B$7),E24+Settings!$B$7*D24/1440))</f>
        <v>46320.4798611111</v>
      </c>
      <c r="W24" s="22" t="n">
        <f aca="false">IF(B24="","",IF(INDEX($E$7:$E$336,ROW()-6+Settings!$B$7+Settings!$B$8)&lt;&gt;"",INDEX($E$7:$E$336,ROW()-6+Settings!$B$7+Settings!$B$8),E24+(Settings!$B$7+Settings!$B$8)*D24/1440)+U24/1440)</f>
        <v>46320.5756944444</v>
      </c>
      <c r="X24" s="18" t="str">
        <f aca="false">IF(B24="","",IF(INDEX($E$7:$E$336,ROW()-6+Settings!$B$7+Settings!$B$8)&lt;&gt;"","line","estimate"))</f>
        <v>line</v>
      </c>
      <c r="Y24" s="25" t="n">
        <f aca="false">IF(B24="","",INT(W24-Settings!$B$6))</f>
        <v>46320</v>
      </c>
      <c r="Z24" s="19"/>
      <c r="AA24" s="18" t="str">
        <f aca="false">IF(B24="","",IF(AND(B24&lt;&gt;"Empty",F24=""),"part missing; ","")&amp;IF(AND(F24&lt;&gt;"",J24=""),"pieces missing; ","")&amp;IF(AND(F24&lt;&gt;"",O24=""),"part not on the Parts sheet; ","")&amp;IF(AND(B24="Empty",OR(F24&lt;&gt;"",K24&lt;&gt;"")),"empty tray with parts; ","")&amp;IF(AND(B24="Loaded",K24&lt;&gt;""),"second part: type Mixed; ","")&amp;IF(AND(Q24&lt;&gt;"",N(Q24)&gt;1),"over 100 % of the spec load; ","")&amp;IF(N(R24)&gt;Settings!$B$10,"over the tray maximum (kg); ","")&amp;IF(AND(K24&lt;&gt;"",IFERROR(INDEX(Parts!$C$6:$C$45,MATCH(K24,Parts!$A$6:$A$45,0)),O24)&lt;&gt;O24),"different processes in one tray; ","")&amp;IF(AND(S24&lt;&gt;"",T24=""),"rework reason missing; ",""))</f>
        <v/>
      </c>
    </row>
    <row r="25" customFormat="false" ht="15" hidden="false" customHeight="false" outlineLevel="0" collapsed="false">
      <c r="A25" s="18" t="n">
        <f aca="false">IF(B25="","",COUNTA(B$7:B25))</f>
        <v>19</v>
      </c>
      <c r="B25" s="19" t="s">
        <v>95</v>
      </c>
      <c r="C25" s="20"/>
      <c r="D25" s="19" t="n">
        <f aca="false">IF(B25="","",IF(D24="",Report!$B$12,D24))</f>
        <v>10</v>
      </c>
      <c r="E25" s="22" t="n">
        <f aca="false">IF(B25="","",IF(C25&lt;&gt;"",C25,E24+D24/1440+SUMIFS(Holds!$F$7:$F$46,Holds!$B$7:$B$46,"&gt;="&amp;E24,Holds!$B$7:$B$46,"&lt;"&amp;E24+D24/1440)/1440))</f>
        <v>46320.36875</v>
      </c>
      <c r="F25" s="19" t="s">
        <v>103</v>
      </c>
      <c r="G25" s="19" t="s">
        <v>104</v>
      </c>
      <c r="H25" s="19" t="s">
        <v>105</v>
      </c>
      <c r="I25" s="19" t="s">
        <v>64</v>
      </c>
      <c r="J25" s="19" t="n">
        <v>30</v>
      </c>
      <c r="K25" s="19"/>
      <c r="L25" s="19"/>
      <c r="M25" s="19"/>
      <c r="N25" s="19"/>
      <c r="O25" s="18" t="str">
        <f aca="false">IF(F25="","",IFERROR(INDEX(Parts!$C$6:$C$45,MATCH(F25,Parts!$A$6:$A$45,0)),""))</f>
        <v>NORM</v>
      </c>
      <c r="P25" s="18" t="n">
        <f aca="false">IF(F25="","",IFERROR(INDEX(Parts!$E$6:$E$45,MATCH(F25,Parts!$A$6:$A$45,0)),""))</f>
        <v>30</v>
      </c>
      <c r="Q25" s="23" t="n">
        <f aca="false">IF(OR(J25="",P25="",P25=0),"",J25/P25+IF(OR(N25="",K25=""),0,IFERROR(N25/INDEX(Parts!$E$6:$E$45,MATCH(K25,Parts!$A$6:$A$45,0)),0)))</f>
        <v>1</v>
      </c>
      <c r="R25" s="24" t="n">
        <f aca="false">IF(B25="","",IF(J25="",0,J25*IFERROR(INDEX(Parts!$F$6:$F$45,MATCH(F25,Parts!$A$6:$A$45,0)),0))+IF(N25="",0,N25*IFERROR(INDEX(Parts!$F$6:$F$45,MATCH(K25,Parts!$A$6:$A$45,0)),0)))</f>
        <v>66</v>
      </c>
      <c r="S25" s="19"/>
      <c r="T25" s="19"/>
      <c r="U25" s="18" t="n">
        <f aca="false">IF(B25="","",IF(F25="",Settings!$B$9,IFERROR(INDEX(Parts!$H$6:$H$45,MATCH(F25,Parts!$A$6:$A$45,0))+0,Settings!$B$9)))</f>
        <v>18</v>
      </c>
      <c r="V25" s="22" t="n">
        <f aca="false">IF(B25="","",IF(INDEX($E$7:$E$336,ROW()-6+Settings!$B$7)&lt;&gt;"",INDEX($E$7:$E$336,ROW()-6+Settings!$B$7),E25+Settings!$B$7*D25/1440))</f>
        <v>46320.4868055556</v>
      </c>
      <c r="W25" s="22" t="n">
        <f aca="false">IF(B25="","",IF(INDEX($E$7:$E$336,ROW()-6+Settings!$B$7+Settings!$B$8)&lt;&gt;"",INDEX($E$7:$E$336,ROW()-6+Settings!$B$7+Settings!$B$8),E25+(Settings!$B$7+Settings!$B$8)*D25/1440)+U25/1440)</f>
        <v>46320.5826388889</v>
      </c>
      <c r="X25" s="18" t="str">
        <f aca="false">IF(B25="","",IF(INDEX($E$7:$E$336,ROW()-6+Settings!$B$7+Settings!$B$8)&lt;&gt;"","line","estimate"))</f>
        <v>line</v>
      </c>
      <c r="Y25" s="25" t="n">
        <f aca="false">IF(B25="","",INT(W25-Settings!$B$6))</f>
        <v>46320</v>
      </c>
      <c r="Z25" s="19"/>
      <c r="AA25" s="18" t="str">
        <f aca="false">IF(B25="","",IF(AND(B25&lt;&gt;"Empty",F25=""),"part missing; ","")&amp;IF(AND(F25&lt;&gt;"",J25=""),"pieces missing; ","")&amp;IF(AND(F25&lt;&gt;"",O25=""),"part not on the Parts sheet; ","")&amp;IF(AND(B25="Empty",OR(F25&lt;&gt;"",K25&lt;&gt;"")),"empty tray with parts; ","")&amp;IF(AND(B25="Loaded",K25&lt;&gt;""),"second part: type Mixed; ","")&amp;IF(AND(Q25&lt;&gt;"",N(Q25)&gt;1),"over 100 % of the spec load; ","")&amp;IF(N(R25)&gt;Settings!$B$10,"over the tray maximum (kg); ","")&amp;IF(AND(K25&lt;&gt;"",IFERROR(INDEX(Parts!$C$6:$C$45,MATCH(K25,Parts!$A$6:$A$45,0)),O25)&lt;&gt;O25),"different processes in one tray; ","")&amp;IF(AND(S25&lt;&gt;"",T25=""),"rework reason missing; ",""))</f>
        <v/>
      </c>
    </row>
    <row r="26" customFormat="false" ht="15" hidden="false" customHeight="false" outlineLevel="0" collapsed="false">
      <c r="A26" s="18" t="n">
        <f aca="false">IF(B26="","",COUNTA(B$7:B26))</f>
        <v>20</v>
      </c>
      <c r="B26" s="19" t="s">
        <v>95</v>
      </c>
      <c r="C26" s="20"/>
      <c r="D26" s="19" t="n">
        <f aca="false">IF(B26="","",IF(D25="",Report!$B$12,D25))</f>
        <v>10</v>
      </c>
      <c r="E26" s="22" t="n">
        <f aca="false">IF(B26="","",IF(C26&lt;&gt;"",C26,E25+D25/1440+SUMIFS(Holds!$F$7:$F$46,Holds!$B$7:$B$46,"&gt;="&amp;E25,Holds!$B$7:$B$46,"&lt;"&amp;E25+D25/1440)/1440))</f>
        <v>46320.4034722222</v>
      </c>
      <c r="F26" s="19" t="s">
        <v>103</v>
      </c>
      <c r="G26" s="19" t="s">
        <v>104</v>
      </c>
      <c r="H26" s="19" t="s">
        <v>105</v>
      </c>
      <c r="I26" s="19" t="s">
        <v>64</v>
      </c>
      <c r="J26" s="19" t="n">
        <v>30</v>
      </c>
      <c r="K26" s="19"/>
      <c r="L26" s="19"/>
      <c r="M26" s="19"/>
      <c r="N26" s="19"/>
      <c r="O26" s="18" t="str">
        <f aca="false">IF(F26="","",IFERROR(INDEX(Parts!$C$6:$C$45,MATCH(F26,Parts!$A$6:$A$45,0)),""))</f>
        <v>NORM</v>
      </c>
      <c r="P26" s="18" t="n">
        <f aca="false">IF(F26="","",IFERROR(INDEX(Parts!$E$6:$E$45,MATCH(F26,Parts!$A$6:$A$45,0)),""))</f>
        <v>30</v>
      </c>
      <c r="Q26" s="23" t="n">
        <f aca="false">IF(OR(J26="",P26="",P26=0),"",J26/P26+IF(OR(N26="",K26=""),0,IFERROR(N26/INDEX(Parts!$E$6:$E$45,MATCH(K26,Parts!$A$6:$A$45,0)),0)))</f>
        <v>1</v>
      </c>
      <c r="R26" s="24" t="n">
        <f aca="false">IF(B26="","",IF(J26="",0,J26*IFERROR(INDEX(Parts!$F$6:$F$45,MATCH(F26,Parts!$A$6:$A$45,0)),0))+IF(N26="",0,N26*IFERROR(INDEX(Parts!$F$6:$F$45,MATCH(K26,Parts!$A$6:$A$45,0)),0)))</f>
        <v>66</v>
      </c>
      <c r="S26" s="19"/>
      <c r="T26" s="19"/>
      <c r="U26" s="18" t="n">
        <f aca="false">IF(B26="","",IF(F26="",Settings!$B$9,IFERROR(INDEX(Parts!$H$6:$H$45,MATCH(F26,Parts!$A$6:$A$45,0))+0,Settings!$B$9)))</f>
        <v>18</v>
      </c>
      <c r="V26" s="22" t="n">
        <f aca="false">IF(B26="","",IF(INDEX($E$7:$E$336,ROW()-6+Settings!$B$7)&lt;&gt;"",INDEX($E$7:$E$336,ROW()-6+Settings!$B$7),E26+Settings!$B$7*D26/1440))</f>
        <v>46320.49375</v>
      </c>
      <c r="W26" s="22" t="n">
        <f aca="false">IF(B26="","",IF(INDEX($E$7:$E$336,ROW()-6+Settings!$B$7+Settings!$B$8)&lt;&gt;"",INDEX($E$7:$E$336,ROW()-6+Settings!$B$7+Settings!$B$8),E26+(Settings!$B$7+Settings!$B$8)*D26/1440)+U26/1440)</f>
        <v>46320.5895833333</v>
      </c>
      <c r="X26" s="18" t="str">
        <f aca="false">IF(B26="","",IF(INDEX($E$7:$E$336,ROW()-6+Settings!$B$7+Settings!$B$8)&lt;&gt;"","line","estimate"))</f>
        <v>line</v>
      </c>
      <c r="Y26" s="25" t="n">
        <f aca="false">IF(B26="","",INT(W26-Settings!$B$6))</f>
        <v>46320</v>
      </c>
      <c r="Z26" s="19"/>
      <c r="AA26" s="18" t="str">
        <f aca="false">IF(B26="","",IF(AND(B26&lt;&gt;"Empty",F26=""),"part missing; ","")&amp;IF(AND(F26&lt;&gt;"",J26=""),"pieces missing; ","")&amp;IF(AND(F26&lt;&gt;"",O26=""),"part not on the Parts sheet; ","")&amp;IF(AND(B26="Empty",OR(F26&lt;&gt;"",K26&lt;&gt;"")),"empty tray with parts; ","")&amp;IF(AND(B26="Loaded",K26&lt;&gt;""),"second part: type Mixed; ","")&amp;IF(AND(Q26&lt;&gt;"",N(Q26)&gt;1),"over 100 % of the spec load; ","")&amp;IF(N(R26)&gt;Settings!$B$10,"over the tray maximum (kg); ","")&amp;IF(AND(K26&lt;&gt;"",IFERROR(INDEX(Parts!$C$6:$C$45,MATCH(K26,Parts!$A$6:$A$45,0)),O26)&lt;&gt;O26),"different processes in one tray; ","")&amp;IF(AND(S26&lt;&gt;"",T26=""),"rework reason missing; ",""))</f>
        <v/>
      </c>
    </row>
    <row r="27" customFormat="false" ht="15" hidden="false" customHeight="false" outlineLevel="0" collapsed="false">
      <c r="A27" s="18" t="n">
        <f aca="false">IF(B27="","",COUNTA(B$7:B27))</f>
        <v>21</v>
      </c>
      <c r="B27" s="19" t="s">
        <v>95</v>
      </c>
      <c r="C27" s="20"/>
      <c r="D27" s="19" t="n">
        <f aca="false">IF(B27="","",IF(D26="",Report!$B$12,D26))</f>
        <v>10</v>
      </c>
      <c r="E27" s="22" t="n">
        <f aca="false">IF(B27="","",IF(C27&lt;&gt;"",C27,E26+D26/1440+SUMIFS(Holds!$F$7:$F$46,Holds!$B$7:$B$46,"&gt;="&amp;E26,Holds!$B$7:$B$46,"&lt;"&amp;E26+D26/1440)/1440))</f>
        <v>46320.4104166667</v>
      </c>
      <c r="F27" s="19" t="s">
        <v>103</v>
      </c>
      <c r="G27" s="19" t="s">
        <v>104</v>
      </c>
      <c r="H27" s="19" t="s">
        <v>105</v>
      </c>
      <c r="I27" s="19" t="s">
        <v>64</v>
      </c>
      <c r="J27" s="19" t="n">
        <v>30</v>
      </c>
      <c r="K27" s="19"/>
      <c r="L27" s="19"/>
      <c r="M27" s="19"/>
      <c r="N27" s="19"/>
      <c r="O27" s="18" t="str">
        <f aca="false">IF(F27="","",IFERROR(INDEX(Parts!$C$6:$C$45,MATCH(F27,Parts!$A$6:$A$45,0)),""))</f>
        <v>NORM</v>
      </c>
      <c r="P27" s="18" t="n">
        <f aca="false">IF(F27="","",IFERROR(INDEX(Parts!$E$6:$E$45,MATCH(F27,Parts!$A$6:$A$45,0)),""))</f>
        <v>30</v>
      </c>
      <c r="Q27" s="23" t="n">
        <f aca="false">IF(OR(J27="",P27="",P27=0),"",J27/P27+IF(OR(N27="",K27=""),0,IFERROR(N27/INDEX(Parts!$E$6:$E$45,MATCH(K27,Parts!$A$6:$A$45,0)),0)))</f>
        <v>1</v>
      </c>
      <c r="R27" s="24" t="n">
        <f aca="false">IF(B27="","",IF(J27="",0,J27*IFERROR(INDEX(Parts!$F$6:$F$45,MATCH(F27,Parts!$A$6:$A$45,0)),0))+IF(N27="",0,N27*IFERROR(INDEX(Parts!$F$6:$F$45,MATCH(K27,Parts!$A$6:$A$45,0)),0)))</f>
        <v>66</v>
      </c>
      <c r="S27" s="19"/>
      <c r="T27" s="19"/>
      <c r="U27" s="18" t="n">
        <f aca="false">IF(B27="","",IF(F27="",Settings!$B$9,IFERROR(INDEX(Parts!$H$6:$H$45,MATCH(F27,Parts!$A$6:$A$45,0))+0,Settings!$B$9)))</f>
        <v>18</v>
      </c>
      <c r="V27" s="22" t="n">
        <f aca="false">IF(B27="","",IF(INDEX($E$7:$E$336,ROW()-6+Settings!$B$7)&lt;&gt;"",INDEX($E$7:$E$336,ROW()-6+Settings!$B$7),E27+Settings!$B$7*D27/1440))</f>
        <v>46320.5006944445</v>
      </c>
      <c r="W27" s="22" t="n">
        <f aca="false">IF(B27="","",IF(INDEX($E$7:$E$336,ROW()-6+Settings!$B$7+Settings!$B$8)&lt;&gt;"",INDEX($E$7:$E$336,ROW()-6+Settings!$B$7+Settings!$B$8),E27+(Settings!$B$7+Settings!$B$8)*D27/1440)+U27/1440)</f>
        <v>46320.5965277778</v>
      </c>
      <c r="X27" s="18" t="str">
        <f aca="false">IF(B27="","",IF(INDEX($E$7:$E$336,ROW()-6+Settings!$B$7+Settings!$B$8)&lt;&gt;"","line","estimate"))</f>
        <v>estimate</v>
      </c>
      <c r="Y27" s="25" t="n">
        <f aca="false">IF(B27="","",INT(W27-Settings!$B$6))</f>
        <v>46320</v>
      </c>
      <c r="Z27" s="19"/>
      <c r="AA27" s="18" t="str">
        <f aca="false">IF(B27="","",IF(AND(B27&lt;&gt;"Empty",F27=""),"part missing; ","")&amp;IF(AND(F27&lt;&gt;"",J27=""),"pieces missing; ","")&amp;IF(AND(F27&lt;&gt;"",O27=""),"part not on the Parts sheet; ","")&amp;IF(AND(B27="Empty",OR(F27&lt;&gt;"",K27&lt;&gt;"")),"empty tray with parts; ","")&amp;IF(AND(B27="Loaded",K27&lt;&gt;""),"second part: type Mixed; ","")&amp;IF(AND(Q27&lt;&gt;"",N(Q27)&gt;1),"over 100 % of the spec load; ","")&amp;IF(N(R27)&gt;Settings!$B$10,"over the tray maximum (kg); ","")&amp;IF(AND(K27&lt;&gt;"",IFERROR(INDEX(Parts!$C$6:$C$45,MATCH(K27,Parts!$A$6:$A$45,0)),O27)&lt;&gt;O27),"different processes in one tray; ","")&amp;IF(AND(S27&lt;&gt;"",T27=""),"rework reason missing; ",""))</f>
        <v/>
      </c>
    </row>
    <row r="28" customFormat="false" ht="15" hidden="false" customHeight="false" outlineLevel="0" collapsed="false">
      <c r="A28" s="18" t="n">
        <f aca="false">IF(B28="","",COUNTA(B$7:B28))</f>
        <v>22</v>
      </c>
      <c r="B28" s="19" t="s">
        <v>95</v>
      </c>
      <c r="C28" s="20"/>
      <c r="D28" s="19" t="n">
        <f aca="false">IF(B28="","",IF(D27="",Report!$B$12,D27))</f>
        <v>10</v>
      </c>
      <c r="E28" s="22" t="n">
        <f aca="false">IF(B28="","",IF(C28&lt;&gt;"",C28,E27+D27/1440+SUMIFS(Holds!$F$7:$F$46,Holds!$B$7:$B$46,"&gt;="&amp;E27,Holds!$B$7:$B$46,"&lt;"&amp;E27+D27/1440)/1440))</f>
        <v>46320.4173611111</v>
      </c>
      <c r="F28" s="19" t="s">
        <v>103</v>
      </c>
      <c r="G28" s="19" t="s">
        <v>104</v>
      </c>
      <c r="H28" s="19" t="s">
        <v>105</v>
      </c>
      <c r="I28" s="19" t="s">
        <v>64</v>
      </c>
      <c r="J28" s="19" t="n">
        <v>30</v>
      </c>
      <c r="K28" s="19"/>
      <c r="L28" s="19"/>
      <c r="M28" s="19"/>
      <c r="N28" s="19"/>
      <c r="O28" s="18" t="str">
        <f aca="false">IF(F28="","",IFERROR(INDEX(Parts!$C$6:$C$45,MATCH(F28,Parts!$A$6:$A$45,0)),""))</f>
        <v>NORM</v>
      </c>
      <c r="P28" s="18" t="n">
        <f aca="false">IF(F28="","",IFERROR(INDEX(Parts!$E$6:$E$45,MATCH(F28,Parts!$A$6:$A$45,0)),""))</f>
        <v>30</v>
      </c>
      <c r="Q28" s="23" t="n">
        <f aca="false">IF(OR(J28="",P28="",P28=0),"",J28/P28+IF(OR(N28="",K28=""),0,IFERROR(N28/INDEX(Parts!$E$6:$E$45,MATCH(K28,Parts!$A$6:$A$45,0)),0)))</f>
        <v>1</v>
      </c>
      <c r="R28" s="24" t="n">
        <f aca="false">IF(B28="","",IF(J28="",0,J28*IFERROR(INDEX(Parts!$F$6:$F$45,MATCH(F28,Parts!$A$6:$A$45,0)),0))+IF(N28="",0,N28*IFERROR(INDEX(Parts!$F$6:$F$45,MATCH(K28,Parts!$A$6:$A$45,0)),0)))</f>
        <v>66</v>
      </c>
      <c r="S28" s="19"/>
      <c r="T28" s="19"/>
      <c r="U28" s="18" t="n">
        <f aca="false">IF(B28="","",IF(F28="",Settings!$B$9,IFERROR(INDEX(Parts!$H$6:$H$45,MATCH(F28,Parts!$A$6:$A$45,0))+0,Settings!$B$9)))</f>
        <v>18</v>
      </c>
      <c r="V28" s="22" t="n">
        <f aca="false">IF(B28="","",IF(INDEX($E$7:$E$336,ROW()-6+Settings!$B$7)&lt;&gt;"",INDEX($E$7:$E$336,ROW()-6+Settings!$B$7),E28+Settings!$B$7*D28/1440))</f>
        <v>46320.5076388889</v>
      </c>
      <c r="W28" s="22" t="n">
        <f aca="false">IF(B28="","",IF(INDEX($E$7:$E$336,ROW()-6+Settings!$B$7+Settings!$B$8)&lt;&gt;"",INDEX($E$7:$E$336,ROW()-6+Settings!$B$7+Settings!$B$8),E28+(Settings!$B$7+Settings!$B$8)*D28/1440)+U28/1440)</f>
        <v>46320.6034722222</v>
      </c>
      <c r="X28" s="18" t="str">
        <f aca="false">IF(B28="","",IF(INDEX($E$7:$E$336,ROW()-6+Settings!$B$7+Settings!$B$8)&lt;&gt;"","line","estimate"))</f>
        <v>estimate</v>
      </c>
      <c r="Y28" s="25" t="n">
        <f aca="false">IF(B28="","",INT(W28-Settings!$B$6))</f>
        <v>46320</v>
      </c>
      <c r="Z28" s="19"/>
      <c r="AA28" s="18" t="str">
        <f aca="false">IF(B28="","",IF(AND(B28&lt;&gt;"Empty",F28=""),"part missing; ","")&amp;IF(AND(F28&lt;&gt;"",J28=""),"pieces missing; ","")&amp;IF(AND(F28&lt;&gt;"",O28=""),"part not on the Parts sheet; ","")&amp;IF(AND(B28="Empty",OR(F28&lt;&gt;"",K28&lt;&gt;"")),"empty tray with parts; ","")&amp;IF(AND(B28="Loaded",K28&lt;&gt;""),"second part: type Mixed; ","")&amp;IF(AND(Q28&lt;&gt;"",N(Q28)&gt;1),"over 100 % of the spec load; ","")&amp;IF(N(R28)&gt;Settings!$B$10,"over the tray maximum (kg); ","")&amp;IF(AND(K28&lt;&gt;"",IFERROR(INDEX(Parts!$C$6:$C$45,MATCH(K28,Parts!$A$6:$A$45,0)),O28)&lt;&gt;O28),"different processes in one tray; ","")&amp;IF(AND(S28&lt;&gt;"",T28=""),"rework reason missing; ",""))</f>
        <v/>
      </c>
    </row>
    <row r="29" customFormat="false" ht="15" hidden="false" customHeight="false" outlineLevel="0" collapsed="false">
      <c r="A29" s="18" t="n">
        <f aca="false">IF(B29="","",COUNTA(B$7:B29))</f>
        <v>23</v>
      </c>
      <c r="B29" s="19" t="s">
        <v>95</v>
      </c>
      <c r="C29" s="20"/>
      <c r="D29" s="19" t="n">
        <f aca="false">IF(B29="","",IF(D28="",Report!$B$12,D28))</f>
        <v>10</v>
      </c>
      <c r="E29" s="22" t="n">
        <f aca="false">IF(B29="","",IF(C29&lt;&gt;"",C29,E28+D28/1440+SUMIFS(Holds!$F$7:$F$46,Holds!$B$7:$B$46,"&gt;="&amp;E28,Holds!$B$7:$B$46,"&lt;"&amp;E28+D28/1440)/1440))</f>
        <v>46320.4243055556</v>
      </c>
      <c r="F29" s="19" t="s">
        <v>103</v>
      </c>
      <c r="G29" s="19" t="s">
        <v>104</v>
      </c>
      <c r="H29" s="19" t="s">
        <v>105</v>
      </c>
      <c r="I29" s="19" t="s">
        <v>64</v>
      </c>
      <c r="J29" s="19" t="n">
        <v>30</v>
      </c>
      <c r="K29" s="19"/>
      <c r="L29" s="19"/>
      <c r="M29" s="19"/>
      <c r="N29" s="19"/>
      <c r="O29" s="18" t="str">
        <f aca="false">IF(F29="","",IFERROR(INDEX(Parts!$C$6:$C$45,MATCH(F29,Parts!$A$6:$A$45,0)),""))</f>
        <v>NORM</v>
      </c>
      <c r="P29" s="18" t="n">
        <f aca="false">IF(F29="","",IFERROR(INDEX(Parts!$E$6:$E$45,MATCH(F29,Parts!$A$6:$A$45,0)),""))</f>
        <v>30</v>
      </c>
      <c r="Q29" s="23" t="n">
        <f aca="false">IF(OR(J29="",P29="",P29=0),"",J29/P29+IF(OR(N29="",K29=""),0,IFERROR(N29/INDEX(Parts!$E$6:$E$45,MATCH(K29,Parts!$A$6:$A$45,0)),0)))</f>
        <v>1</v>
      </c>
      <c r="R29" s="24" t="n">
        <f aca="false">IF(B29="","",IF(J29="",0,J29*IFERROR(INDEX(Parts!$F$6:$F$45,MATCH(F29,Parts!$A$6:$A$45,0)),0))+IF(N29="",0,N29*IFERROR(INDEX(Parts!$F$6:$F$45,MATCH(K29,Parts!$A$6:$A$45,0)),0)))</f>
        <v>66</v>
      </c>
      <c r="S29" s="19"/>
      <c r="T29" s="19"/>
      <c r="U29" s="18" t="n">
        <f aca="false">IF(B29="","",IF(F29="",Settings!$B$9,IFERROR(INDEX(Parts!$H$6:$H$45,MATCH(F29,Parts!$A$6:$A$45,0))+0,Settings!$B$9)))</f>
        <v>18</v>
      </c>
      <c r="V29" s="22" t="n">
        <f aca="false">IF(B29="","",IF(INDEX($E$7:$E$336,ROW()-6+Settings!$B$7)&lt;&gt;"",INDEX($E$7:$E$336,ROW()-6+Settings!$B$7),E29+Settings!$B$7*D29/1440))</f>
        <v>46320.5145833333</v>
      </c>
      <c r="W29" s="22" t="n">
        <f aca="false">IF(B29="","",IF(INDEX($E$7:$E$336,ROW()-6+Settings!$B$7+Settings!$B$8)&lt;&gt;"",INDEX($E$7:$E$336,ROW()-6+Settings!$B$7+Settings!$B$8),E29+(Settings!$B$7+Settings!$B$8)*D29/1440)+U29/1440)</f>
        <v>46320.6104166667</v>
      </c>
      <c r="X29" s="18" t="str">
        <f aca="false">IF(B29="","",IF(INDEX($E$7:$E$336,ROW()-6+Settings!$B$7+Settings!$B$8)&lt;&gt;"","line","estimate"))</f>
        <v>estimate</v>
      </c>
      <c r="Y29" s="25" t="n">
        <f aca="false">IF(B29="","",INT(W29-Settings!$B$6))</f>
        <v>46320</v>
      </c>
      <c r="Z29" s="19"/>
      <c r="AA29" s="18" t="str">
        <f aca="false">IF(B29="","",IF(AND(B29&lt;&gt;"Empty",F29=""),"part missing; ","")&amp;IF(AND(F29&lt;&gt;"",J29=""),"pieces missing; ","")&amp;IF(AND(F29&lt;&gt;"",O29=""),"part not on the Parts sheet; ","")&amp;IF(AND(B29="Empty",OR(F29&lt;&gt;"",K29&lt;&gt;"")),"empty tray with parts; ","")&amp;IF(AND(B29="Loaded",K29&lt;&gt;""),"second part: type Mixed; ","")&amp;IF(AND(Q29&lt;&gt;"",N(Q29)&gt;1),"over 100 % of the spec load; ","")&amp;IF(N(R29)&gt;Settings!$B$10,"over the tray maximum (kg); ","")&amp;IF(AND(K29&lt;&gt;"",IFERROR(INDEX(Parts!$C$6:$C$45,MATCH(K29,Parts!$A$6:$A$45,0)),O29)&lt;&gt;O29),"different processes in one tray; ","")&amp;IF(AND(S29&lt;&gt;"",T29=""),"rework reason missing; ",""))</f>
        <v/>
      </c>
    </row>
    <row r="30" customFormat="false" ht="15" hidden="false" customHeight="false" outlineLevel="0" collapsed="false">
      <c r="A30" s="18" t="n">
        <f aca="false">IF(B30="","",COUNTA(B$7:B30))</f>
        <v>24</v>
      </c>
      <c r="B30" s="19" t="s">
        <v>106</v>
      </c>
      <c r="C30" s="20"/>
      <c r="D30" s="19" t="n">
        <f aca="false">IF(B30="","",IF(D29="",Report!$B$12,D29))</f>
        <v>10</v>
      </c>
      <c r="E30" s="22" t="n">
        <f aca="false">IF(B30="","",IF(C30&lt;&gt;"",C30,E29+D29/1440+SUMIFS(Holds!$F$7:$F$46,Holds!$B$7:$B$46,"&gt;="&amp;E29,Holds!$B$7:$B$46,"&lt;"&amp;E29+D29/1440)/1440))</f>
        <v>46320.43125</v>
      </c>
      <c r="F30" s="19" t="s">
        <v>103</v>
      </c>
      <c r="G30" s="19" t="s">
        <v>104</v>
      </c>
      <c r="H30" s="19" t="s">
        <v>105</v>
      </c>
      <c r="I30" s="19" t="s">
        <v>64</v>
      </c>
      <c r="J30" s="19" t="n">
        <v>12</v>
      </c>
      <c r="K30" s="19" t="s">
        <v>103</v>
      </c>
      <c r="L30" s="19" t="s">
        <v>107</v>
      </c>
      <c r="M30" s="19" t="s">
        <v>108</v>
      </c>
      <c r="N30" s="19" t="n">
        <v>15</v>
      </c>
      <c r="O30" s="18" t="str">
        <f aca="false">IF(F30="","",IFERROR(INDEX(Parts!$C$6:$C$45,MATCH(F30,Parts!$A$6:$A$45,0)),""))</f>
        <v>NORM</v>
      </c>
      <c r="P30" s="18" t="n">
        <f aca="false">IF(F30="","",IFERROR(INDEX(Parts!$E$6:$E$45,MATCH(F30,Parts!$A$6:$A$45,0)),""))</f>
        <v>30</v>
      </c>
      <c r="Q30" s="23" t="n">
        <f aca="false">IF(OR(J30="",P30="",P30=0),"",J30/P30+IF(OR(N30="",K30=""),0,IFERROR(N30/INDEX(Parts!$E$6:$E$45,MATCH(K30,Parts!$A$6:$A$45,0)),0)))</f>
        <v>0.9</v>
      </c>
      <c r="R30" s="24" t="n">
        <f aca="false">IF(B30="","",IF(J30="",0,J30*IFERROR(INDEX(Parts!$F$6:$F$45,MATCH(F30,Parts!$A$6:$A$45,0)),0))+IF(N30="",0,N30*IFERROR(INDEX(Parts!$F$6:$F$45,MATCH(K30,Parts!$A$6:$A$45,0)),0)))</f>
        <v>59.4</v>
      </c>
      <c r="S30" s="19"/>
      <c r="T30" s="19"/>
      <c r="U30" s="18" t="n">
        <f aca="false">IF(B30="","",IF(F30="",Settings!$B$9,IFERROR(INDEX(Parts!$H$6:$H$45,MATCH(F30,Parts!$A$6:$A$45,0))+0,Settings!$B$9)))</f>
        <v>18</v>
      </c>
      <c r="V30" s="22" t="n">
        <f aca="false">IF(B30="","",IF(INDEX($E$7:$E$336,ROW()-6+Settings!$B$7)&lt;&gt;"",INDEX($E$7:$E$336,ROW()-6+Settings!$B$7),E30+Settings!$B$7*D30/1440))</f>
        <v>46320.5215277778</v>
      </c>
      <c r="W30" s="22" t="n">
        <f aca="false">IF(B30="","",IF(INDEX($E$7:$E$336,ROW()-6+Settings!$B$7+Settings!$B$8)&lt;&gt;"",INDEX($E$7:$E$336,ROW()-6+Settings!$B$7+Settings!$B$8),E30+(Settings!$B$7+Settings!$B$8)*D30/1440)+U30/1440)</f>
        <v>46320.6173611111</v>
      </c>
      <c r="X30" s="18" t="str">
        <f aca="false">IF(B30="","",IF(INDEX($E$7:$E$336,ROW()-6+Settings!$B$7+Settings!$B$8)&lt;&gt;"","line","estimate"))</f>
        <v>estimate</v>
      </c>
      <c r="Y30" s="25" t="n">
        <f aca="false">IF(B30="","",INT(W30-Settings!$B$6))</f>
        <v>46320</v>
      </c>
      <c r="Z30" s="19"/>
      <c r="AA30" s="18" t="str">
        <f aca="false">IF(B30="","",IF(AND(B30&lt;&gt;"Empty",F30=""),"part missing; ","")&amp;IF(AND(F30&lt;&gt;"",J30=""),"pieces missing; ","")&amp;IF(AND(F30&lt;&gt;"",O30=""),"part not on the Parts sheet; ","")&amp;IF(AND(B30="Empty",OR(F30&lt;&gt;"",K30&lt;&gt;"")),"empty tray with parts; ","")&amp;IF(AND(B30="Loaded",K30&lt;&gt;""),"second part: type Mixed; ","")&amp;IF(AND(Q30&lt;&gt;"",N(Q30)&gt;1),"over 100 % of the spec load; ","")&amp;IF(N(R30)&gt;Settings!$B$10,"over the tray maximum (kg); ","")&amp;IF(AND(K30&lt;&gt;"",IFERROR(INDEX(Parts!$C$6:$C$45,MATCH(K30,Parts!$A$6:$A$45,0)),O30)&lt;&gt;O30),"different processes in one tray; ","")&amp;IF(AND(S30&lt;&gt;"",T30=""),"rework reason missing; ",""))</f>
        <v/>
      </c>
    </row>
    <row r="31" customFormat="false" ht="15" hidden="false" customHeight="false" outlineLevel="0" collapsed="false">
      <c r="A31" s="18" t="n">
        <f aca="false">IF(B31="","",COUNTA(B$7:B31))</f>
        <v>25</v>
      </c>
      <c r="B31" s="19" t="s">
        <v>102</v>
      </c>
      <c r="C31" s="20"/>
      <c r="D31" s="19" t="n">
        <f aca="false">IF(B31="","",IF(D30="",Report!$B$12,D30))</f>
        <v>10</v>
      </c>
      <c r="E31" s="22" t="n">
        <f aca="false">IF(B31="","",IF(C31&lt;&gt;"",C31,E30+D30/1440+SUMIFS(Holds!$F$7:$F$46,Holds!$B$7:$B$46,"&gt;="&amp;E30,Holds!$B$7:$B$46,"&lt;"&amp;E30+D30/1440)/1440))</f>
        <v>46320.4381944445</v>
      </c>
      <c r="F31" s="19"/>
      <c r="G31" s="19"/>
      <c r="H31" s="19"/>
      <c r="I31" s="19"/>
      <c r="J31" s="19"/>
      <c r="K31" s="19"/>
      <c r="L31" s="19"/>
      <c r="M31" s="19"/>
      <c r="N31" s="19"/>
      <c r="O31" s="18" t="str">
        <f aca="false">IF(F31="","",IFERROR(INDEX(Parts!$C$6:$C$45,MATCH(F31,Parts!$A$6:$A$45,0)),""))</f>
        <v/>
      </c>
      <c r="P31" s="18" t="str">
        <f aca="false">IF(F31="","",IFERROR(INDEX(Parts!$E$6:$E$45,MATCH(F31,Parts!$A$6:$A$45,0)),""))</f>
        <v/>
      </c>
      <c r="Q31" s="23" t="str">
        <f aca="false">IF(OR(J31="",P31="",P31=0),"",J31/P31+IF(OR(N31="",K31=""),0,IFERROR(N31/INDEX(Parts!$E$6:$E$45,MATCH(K31,Parts!$A$6:$A$45,0)),0)))</f>
        <v/>
      </c>
      <c r="R31" s="24" t="n">
        <f aca="false">IF(B31="","",IF(J31="",0,J31*IFERROR(INDEX(Parts!$F$6:$F$45,MATCH(F31,Parts!$A$6:$A$45,0)),0))+IF(N31="",0,N31*IFERROR(INDEX(Parts!$F$6:$F$45,MATCH(K31,Parts!$A$6:$A$45,0)),0)))</f>
        <v>0</v>
      </c>
      <c r="S31" s="19"/>
      <c r="T31" s="19"/>
      <c r="U31" s="26" t="n">
        <f aca="false">IF(B31="","",IF(F31="",Settings!$B$9,IFERROR(INDEX(Parts!$H$6:$H$45,MATCH(F31,Parts!$A$6:$A$45,0))+0,Settings!$B$9)))</f>
        <v>18</v>
      </c>
      <c r="V31" s="22" t="n">
        <f aca="false">IF(B31="","",IF(INDEX($E$7:$E$336,ROW()-6+Settings!$B$7)&lt;&gt;"",INDEX($E$7:$E$336,ROW()-6+Settings!$B$7),E31+Settings!$B$7*D31/1440))</f>
        <v>46320.5284722222</v>
      </c>
      <c r="W31" s="22" t="n">
        <f aca="false">IF(B31="","",IF(INDEX($E$7:$E$336,ROW()-6+Settings!$B$7+Settings!$B$8)&lt;&gt;"",INDEX($E$7:$E$336,ROW()-6+Settings!$B$7+Settings!$B$8),E31+(Settings!$B$7+Settings!$B$8)*D31/1440)+U31/1440)</f>
        <v>46320.6243055556</v>
      </c>
      <c r="X31" s="18" t="str">
        <f aca="false">IF(B31="","",IF(INDEX($E$7:$E$336,ROW()-6+Settings!$B$7+Settings!$B$8)&lt;&gt;"","line","estimate"))</f>
        <v>estimate</v>
      </c>
      <c r="Y31" s="25" t="n">
        <f aca="false">IF(B31="","",INT(W31-Settings!$B$6))</f>
        <v>46320</v>
      </c>
      <c r="Z31" s="19"/>
      <c r="AA31" s="18" t="str">
        <f aca="false">IF(B31="","",IF(AND(B31&lt;&gt;"Empty",F31=""),"part missing; ","")&amp;IF(AND(F31&lt;&gt;"",J31=""),"pieces missing; ","")&amp;IF(AND(F31&lt;&gt;"",O31=""),"part not on the Parts sheet; ","")&amp;IF(AND(B31="Empty",OR(F31&lt;&gt;"",K31&lt;&gt;"")),"empty tray with parts; ","")&amp;IF(AND(B31="Loaded",K31&lt;&gt;""),"second part: type Mixed; ","")&amp;IF(AND(Q31&lt;&gt;"",N(Q31)&gt;1),"over 100 % of the spec load; ","")&amp;IF(N(R31)&gt;Settings!$B$10,"over the tray maximum (kg); ","")&amp;IF(AND(K31&lt;&gt;"",IFERROR(INDEX(Parts!$C$6:$C$45,MATCH(K31,Parts!$A$6:$A$45,0)),O31)&lt;&gt;O31),"different processes in one tray; ","")&amp;IF(AND(S31&lt;&gt;"",T31=""),"rework reason missing; ",""))</f>
        <v/>
      </c>
    </row>
    <row r="32" customFormat="false" ht="15" hidden="false" customHeight="false" outlineLevel="0" collapsed="false">
      <c r="A32" s="18" t="n">
        <f aca="false">IF(B32="","",COUNTA(B$7:B32))</f>
        <v>26</v>
      </c>
      <c r="B32" s="19" t="s">
        <v>95</v>
      </c>
      <c r="C32" s="20"/>
      <c r="D32" s="19" t="n">
        <f aca="false">IF(B32="","",IF(D31="",Report!$B$12,D31))</f>
        <v>10</v>
      </c>
      <c r="E32" s="22" t="n">
        <f aca="false">IF(B32="","",IF(C32&lt;&gt;"",C32,E31+D31/1440+SUMIFS(Holds!$F$7:$F$46,Holds!$B$7:$B$46,"&gt;="&amp;E31,Holds!$B$7:$B$46,"&lt;"&amp;E31+D31/1440)/1440))</f>
        <v>46320.4451388889</v>
      </c>
      <c r="F32" s="19" t="s">
        <v>109</v>
      </c>
      <c r="G32" s="19" t="s">
        <v>110</v>
      </c>
      <c r="H32" s="19" t="s">
        <v>111</v>
      </c>
      <c r="I32" s="19" t="s">
        <v>112</v>
      </c>
      <c r="J32" s="19" t="n">
        <v>24</v>
      </c>
      <c r="K32" s="19"/>
      <c r="L32" s="19"/>
      <c r="M32" s="19"/>
      <c r="N32" s="19"/>
      <c r="O32" s="18" t="str">
        <f aca="false">IF(F32="","",IFERROR(INDEX(Parts!$C$6:$C$45,MATCH(F32,Parts!$A$6:$A$45,0)),""))</f>
        <v>IA</v>
      </c>
      <c r="P32" s="18" t="n">
        <f aca="false">IF(F32="","",IFERROR(INDEX(Parts!$E$6:$E$45,MATCH(F32,Parts!$A$6:$A$45,0)),""))</f>
        <v>24</v>
      </c>
      <c r="Q32" s="23" t="n">
        <f aca="false">IF(OR(J32="",P32="",P32=0),"",J32/P32+IF(OR(N32="",K32=""),0,IFERROR(N32/INDEX(Parts!$E$6:$E$45,MATCH(K32,Parts!$A$6:$A$45,0)),0)))</f>
        <v>1</v>
      </c>
      <c r="R32" s="24" t="n">
        <f aca="false">IF(B32="","",IF(J32="",0,J32*IFERROR(INDEX(Parts!$F$6:$F$45,MATCH(F32,Parts!$A$6:$A$45,0)),0))+IF(N32="",0,N32*IFERROR(INDEX(Parts!$F$6:$F$45,MATCH(K32,Parts!$A$6:$A$45,0)),0)))</f>
        <v>84</v>
      </c>
      <c r="S32" s="19"/>
      <c r="T32" s="19"/>
      <c r="U32" s="18" t="n">
        <f aca="false">IF(B32="","",IF(F32="",Settings!$B$9,IFERROR(INDEX(Parts!$H$6:$H$45,MATCH(F32,Parts!$A$6:$A$45,0))+0,Settings!$B$9)))</f>
        <v>7</v>
      </c>
      <c r="V32" s="22" t="n">
        <f aca="false">IF(B32="","",IF(INDEX($E$7:$E$336,ROW()-6+Settings!$B$7)&lt;&gt;"",INDEX($E$7:$E$336,ROW()-6+Settings!$B$7),E32+Settings!$B$7*D32/1440))</f>
        <v>46320.5354166667</v>
      </c>
      <c r="W32" s="22" t="n">
        <f aca="false">IF(B32="","",IF(INDEX($E$7:$E$336,ROW()-6+Settings!$B$7+Settings!$B$8)&lt;&gt;"",INDEX($E$7:$E$336,ROW()-6+Settings!$B$7+Settings!$B$8),E32+(Settings!$B$7+Settings!$B$8)*D32/1440)+U32/1440)</f>
        <v>46320.6236111111</v>
      </c>
      <c r="X32" s="18" t="str">
        <f aca="false">IF(B32="","",IF(INDEX($E$7:$E$336,ROW()-6+Settings!$B$7+Settings!$B$8)&lt;&gt;"","line","estimate"))</f>
        <v>estimate</v>
      </c>
      <c r="Y32" s="25" t="n">
        <f aca="false">IF(B32="","",INT(W32-Settings!$B$6))</f>
        <v>46320</v>
      </c>
      <c r="Z32" s="19"/>
      <c r="AA32" s="18" t="str">
        <f aca="false">IF(B32="","",IF(AND(B32&lt;&gt;"Empty",F32=""),"part missing; ","")&amp;IF(AND(F32&lt;&gt;"",J32=""),"pieces missing; ","")&amp;IF(AND(F32&lt;&gt;"",O32=""),"part not on the Parts sheet; ","")&amp;IF(AND(B32="Empty",OR(F32&lt;&gt;"",K32&lt;&gt;"")),"empty tray with parts; ","")&amp;IF(AND(B32="Loaded",K32&lt;&gt;""),"second part: type Mixed; ","")&amp;IF(AND(Q32&lt;&gt;"",N(Q32)&gt;1),"over 100 % of the spec load; ","")&amp;IF(N(R32)&gt;Settings!$B$10,"over the tray maximum (kg); ","")&amp;IF(AND(K32&lt;&gt;"",IFERROR(INDEX(Parts!$C$6:$C$45,MATCH(K32,Parts!$A$6:$A$45,0)),O32)&lt;&gt;O32),"different processes in one tray; ","")&amp;IF(AND(S32&lt;&gt;"",T32=""),"rework reason missing; ",""))</f>
        <v/>
      </c>
    </row>
    <row r="33" customFormat="false" ht="15" hidden="false" customHeight="false" outlineLevel="0" collapsed="false">
      <c r="A33" s="18" t="n">
        <f aca="false">IF(B33="","",COUNTA(B$7:B33))</f>
        <v>27</v>
      </c>
      <c r="B33" s="19" t="s">
        <v>95</v>
      </c>
      <c r="C33" s="20"/>
      <c r="D33" s="19" t="n">
        <f aca="false">IF(B33="","",IF(D32="",Report!$B$12,D32))</f>
        <v>10</v>
      </c>
      <c r="E33" s="22" t="n">
        <f aca="false">IF(B33="","",IF(C33&lt;&gt;"",C33,E32+D32/1440+SUMIFS(Holds!$F$7:$F$46,Holds!$B$7:$B$46,"&gt;="&amp;E32,Holds!$B$7:$B$46,"&lt;"&amp;E32+D32/1440)/1440))</f>
        <v>46320.4520833333</v>
      </c>
      <c r="F33" s="19" t="s">
        <v>109</v>
      </c>
      <c r="G33" s="19" t="s">
        <v>110</v>
      </c>
      <c r="H33" s="19" t="s">
        <v>111</v>
      </c>
      <c r="I33" s="19" t="s">
        <v>112</v>
      </c>
      <c r="J33" s="19" t="n">
        <v>24</v>
      </c>
      <c r="K33" s="19"/>
      <c r="L33" s="19"/>
      <c r="M33" s="19"/>
      <c r="N33" s="19"/>
      <c r="O33" s="18" t="str">
        <f aca="false">IF(F33="","",IFERROR(INDEX(Parts!$C$6:$C$45,MATCH(F33,Parts!$A$6:$A$45,0)),""))</f>
        <v>IA</v>
      </c>
      <c r="P33" s="18" t="n">
        <f aca="false">IF(F33="","",IFERROR(INDEX(Parts!$E$6:$E$45,MATCH(F33,Parts!$A$6:$A$45,0)),""))</f>
        <v>24</v>
      </c>
      <c r="Q33" s="23" t="n">
        <f aca="false">IF(OR(J33="",P33="",P33=0),"",J33/P33+IF(OR(N33="",K33=""),0,IFERROR(N33/INDEX(Parts!$E$6:$E$45,MATCH(K33,Parts!$A$6:$A$45,0)),0)))</f>
        <v>1</v>
      </c>
      <c r="R33" s="24" t="n">
        <f aca="false">IF(B33="","",IF(J33="",0,J33*IFERROR(INDEX(Parts!$F$6:$F$45,MATCH(F33,Parts!$A$6:$A$45,0)),0))+IF(N33="",0,N33*IFERROR(INDEX(Parts!$F$6:$F$45,MATCH(K33,Parts!$A$6:$A$45,0)),0)))</f>
        <v>84</v>
      </c>
      <c r="S33" s="19"/>
      <c r="T33" s="19"/>
      <c r="U33" s="18" t="n">
        <f aca="false">IF(B33="","",IF(F33="",Settings!$B$9,IFERROR(INDEX(Parts!$H$6:$H$45,MATCH(F33,Parts!$A$6:$A$45,0))+0,Settings!$B$9)))</f>
        <v>7</v>
      </c>
      <c r="V33" s="22" t="n">
        <f aca="false">IF(B33="","",IF(INDEX($E$7:$E$336,ROW()-6+Settings!$B$7)&lt;&gt;"",INDEX($E$7:$E$336,ROW()-6+Settings!$B$7),E33+Settings!$B$7*D33/1440))</f>
        <v>46320.5423611111</v>
      </c>
      <c r="W33" s="22" t="n">
        <f aca="false">IF(B33="","",IF(INDEX($E$7:$E$336,ROW()-6+Settings!$B$7+Settings!$B$8)&lt;&gt;"",INDEX($E$7:$E$336,ROW()-6+Settings!$B$7+Settings!$B$8),E33+(Settings!$B$7+Settings!$B$8)*D33/1440)+U33/1440)</f>
        <v>46320.6305555556</v>
      </c>
      <c r="X33" s="18" t="str">
        <f aca="false">IF(B33="","",IF(INDEX($E$7:$E$336,ROW()-6+Settings!$B$7+Settings!$B$8)&lt;&gt;"","line","estimate"))</f>
        <v>estimate</v>
      </c>
      <c r="Y33" s="25" t="n">
        <f aca="false">IF(B33="","",INT(W33-Settings!$B$6))</f>
        <v>46320</v>
      </c>
      <c r="Z33" s="19"/>
      <c r="AA33" s="18" t="str">
        <f aca="false">IF(B33="","",IF(AND(B33&lt;&gt;"Empty",F33=""),"part missing; ","")&amp;IF(AND(F33&lt;&gt;"",J33=""),"pieces missing; ","")&amp;IF(AND(F33&lt;&gt;"",O33=""),"part not on the Parts sheet; ","")&amp;IF(AND(B33="Empty",OR(F33&lt;&gt;"",K33&lt;&gt;"")),"empty tray with parts; ","")&amp;IF(AND(B33="Loaded",K33&lt;&gt;""),"second part: type Mixed; ","")&amp;IF(AND(Q33&lt;&gt;"",N(Q33)&gt;1),"over 100 % of the spec load; ","")&amp;IF(N(R33)&gt;Settings!$B$10,"over the tray maximum (kg); ","")&amp;IF(AND(K33&lt;&gt;"",IFERROR(INDEX(Parts!$C$6:$C$45,MATCH(K33,Parts!$A$6:$A$45,0)),O33)&lt;&gt;O33),"different processes in one tray; ","")&amp;IF(AND(S33&lt;&gt;"",T33=""),"rework reason missing; ",""))</f>
        <v/>
      </c>
    </row>
    <row r="34" customFormat="false" ht="15" hidden="false" customHeight="false" outlineLevel="0" collapsed="false">
      <c r="A34" s="18" t="n">
        <f aca="false">IF(B34="","",COUNTA(B$7:B34))</f>
        <v>28</v>
      </c>
      <c r="B34" s="19" t="s">
        <v>95</v>
      </c>
      <c r="C34" s="20"/>
      <c r="D34" s="19" t="n">
        <f aca="false">IF(B34="","",IF(D33="",Report!$B$12,D33))</f>
        <v>10</v>
      </c>
      <c r="E34" s="22" t="n">
        <f aca="false">IF(B34="","",IF(C34&lt;&gt;"",C34,E33+D33/1440+SUMIFS(Holds!$F$7:$F$46,Holds!$B$7:$B$46,"&gt;="&amp;E33,Holds!$B$7:$B$46,"&lt;"&amp;E33+D33/1440)/1440))</f>
        <v>46320.4590277778</v>
      </c>
      <c r="F34" s="19" t="s">
        <v>109</v>
      </c>
      <c r="G34" s="19" t="s">
        <v>110</v>
      </c>
      <c r="H34" s="19" t="s">
        <v>111</v>
      </c>
      <c r="I34" s="19" t="s">
        <v>112</v>
      </c>
      <c r="J34" s="19" t="n">
        <v>24</v>
      </c>
      <c r="K34" s="19"/>
      <c r="L34" s="19"/>
      <c r="M34" s="19"/>
      <c r="N34" s="19"/>
      <c r="O34" s="18" t="str">
        <f aca="false">IF(F34="","",IFERROR(INDEX(Parts!$C$6:$C$45,MATCH(F34,Parts!$A$6:$A$45,0)),""))</f>
        <v>IA</v>
      </c>
      <c r="P34" s="18" t="n">
        <f aca="false">IF(F34="","",IFERROR(INDEX(Parts!$E$6:$E$45,MATCH(F34,Parts!$A$6:$A$45,0)),""))</f>
        <v>24</v>
      </c>
      <c r="Q34" s="23" t="n">
        <f aca="false">IF(OR(J34="",P34="",P34=0),"",J34/P34+IF(OR(N34="",K34=""),0,IFERROR(N34/INDEX(Parts!$E$6:$E$45,MATCH(K34,Parts!$A$6:$A$45,0)),0)))</f>
        <v>1</v>
      </c>
      <c r="R34" s="24" t="n">
        <f aca="false">IF(B34="","",IF(J34="",0,J34*IFERROR(INDEX(Parts!$F$6:$F$45,MATCH(F34,Parts!$A$6:$A$45,0)),0))+IF(N34="",0,N34*IFERROR(INDEX(Parts!$F$6:$F$45,MATCH(K34,Parts!$A$6:$A$45,0)),0)))</f>
        <v>84</v>
      </c>
      <c r="S34" s="19"/>
      <c r="T34" s="19"/>
      <c r="U34" s="18" t="n">
        <f aca="false">IF(B34="","",IF(F34="",Settings!$B$9,IFERROR(INDEX(Parts!$H$6:$H$45,MATCH(F34,Parts!$A$6:$A$45,0))+0,Settings!$B$9)))</f>
        <v>7</v>
      </c>
      <c r="V34" s="22" t="n">
        <f aca="false">IF(B34="","",IF(INDEX($E$7:$E$336,ROW()-6+Settings!$B$7)&lt;&gt;"",INDEX($E$7:$E$336,ROW()-6+Settings!$B$7),E34+Settings!$B$7*D34/1440))</f>
        <v>46320.5493055556</v>
      </c>
      <c r="W34" s="22" t="n">
        <f aca="false">IF(B34="","",IF(INDEX($E$7:$E$336,ROW()-6+Settings!$B$7+Settings!$B$8)&lt;&gt;"",INDEX($E$7:$E$336,ROW()-6+Settings!$B$7+Settings!$B$8),E34+(Settings!$B$7+Settings!$B$8)*D34/1440)+U34/1440)</f>
        <v>46320.6375</v>
      </c>
      <c r="X34" s="18" t="str">
        <f aca="false">IF(B34="","",IF(INDEX($E$7:$E$336,ROW()-6+Settings!$B$7+Settings!$B$8)&lt;&gt;"","line","estimate"))</f>
        <v>estimate</v>
      </c>
      <c r="Y34" s="25" t="n">
        <f aca="false">IF(B34="","",INT(W34-Settings!$B$6))</f>
        <v>46320</v>
      </c>
      <c r="Z34" s="19"/>
      <c r="AA34" s="18" t="str">
        <f aca="false">IF(B34="","",IF(AND(B34&lt;&gt;"Empty",F34=""),"part missing; ","")&amp;IF(AND(F34&lt;&gt;"",J34=""),"pieces missing; ","")&amp;IF(AND(F34&lt;&gt;"",O34=""),"part not on the Parts sheet; ","")&amp;IF(AND(B34="Empty",OR(F34&lt;&gt;"",K34&lt;&gt;"")),"empty tray with parts; ","")&amp;IF(AND(B34="Loaded",K34&lt;&gt;""),"second part: type Mixed; ","")&amp;IF(AND(Q34&lt;&gt;"",N(Q34)&gt;1),"over 100 % of the spec load; ","")&amp;IF(N(R34)&gt;Settings!$B$10,"over the tray maximum (kg); ","")&amp;IF(AND(K34&lt;&gt;"",IFERROR(INDEX(Parts!$C$6:$C$45,MATCH(K34,Parts!$A$6:$A$45,0)),O34)&lt;&gt;O34),"different processes in one tray; ","")&amp;IF(AND(S34&lt;&gt;"",T34=""),"rework reason missing; ",""))</f>
        <v/>
      </c>
    </row>
    <row r="35" customFormat="false" ht="15" hidden="false" customHeight="false" outlineLevel="0" collapsed="false">
      <c r="A35" s="18" t="n">
        <f aca="false">IF(B35="","",COUNTA(B$7:B35))</f>
        <v>29</v>
      </c>
      <c r="B35" s="19" t="s">
        <v>95</v>
      </c>
      <c r="C35" s="20"/>
      <c r="D35" s="19" t="n">
        <f aca="false">IF(B35="","",IF(D34="",Report!$B$12,D34))</f>
        <v>10</v>
      </c>
      <c r="E35" s="22" t="n">
        <f aca="false">IF(B35="","",IF(C35&lt;&gt;"",C35,E34+D34/1440+SUMIFS(Holds!$F$7:$F$46,Holds!$B$7:$B$46,"&gt;="&amp;E34,Holds!$B$7:$B$46,"&lt;"&amp;E34+D34/1440)/1440))</f>
        <v>46320.4659722222</v>
      </c>
      <c r="F35" s="19" t="s">
        <v>109</v>
      </c>
      <c r="G35" s="19" t="s">
        <v>110</v>
      </c>
      <c r="H35" s="19" t="s">
        <v>111</v>
      </c>
      <c r="I35" s="19" t="s">
        <v>112</v>
      </c>
      <c r="J35" s="19" t="n">
        <v>24</v>
      </c>
      <c r="K35" s="19"/>
      <c r="L35" s="19"/>
      <c r="M35" s="19"/>
      <c r="N35" s="19"/>
      <c r="O35" s="18" t="str">
        <f aca="false">IF(F35="","",IFERROR(INDEX(Parts!$C$6:$C$45,MATCH(F35,Parts!$A$6:$A$45,0)),""))</f>
        <v>IA</v>
      </c>
      <c r="P35" s="18" t="n">
        <f aca="false">IF(F35="","",IFERROR(INDEX(Parts!$E$6:$E$45,MATCH(F35,Parts!$A$6:$A$45,0)),""))</f>
        <v>24</v>
      </c>
      <c r="Q35" s="23" t="n">
        <f aca="false">IF(OR(J35="",P35="",P35=0),"",J35/P35+IF(OR(N35="",K35=""),0,IFERROR(N35/INDEX(Parts!$E$6:$E$45,MATCH(K35,Parts!$A$6:$A$45,0)),0)))</f>
        <v>1</v>
      </c>
      <c r="R35" s="24" t="n">
        <f aca="false">IF(B35="","",IF(J35="",0,J35*IFERROR(INDEX(Parts!$F$6:$F$45,MATCH(F35,Parts!$A$6:$A$45,0)),0))+IF(N35="",0,N35*IFERROR(INDEX(Parts!$F$6:$F$45,MATCH(K35,Parts!$A$6:$A$45,0)),0)))</f>
        <v>84</v>
      </c>
      <c r="S35" s="19"/>
      <c r="T35" s="19"/>
      <c r="U35" s="18" t="n">
        <f aca="false">IF(B35="","",IF(F35="",Settings!$B$9,IFERROR(INDEX(Parts!$H$6:$H$45,MATCH(F35,Parts!$A$6:$A$45,0))+0,Settings!$B$9)))</f>
        <v>7</v>
      </c>
      <c r="V35" s="22" t="n">
        <f aca="false">IF(B35="","",IF(INDEX($E$7:$E$336,ROW()-6+Settings!$B$7)&lt;&gt;"",INDEX($E$7:$E$336,ROW()-6+Settings!$B$7),E35+Settings!$B$7*D35/1440))</f>
        <v>46320.55625</v>
      </c>
      <c r="W35" s="22" t="n">
        <f aca="false">IF(B35="","",IF(INDEX($E$7:$E$336,ROW()-6+Settings!$B$7+Settings!$B$8)&lt;&gt;"",INDEX($E$7:$E$336,ROW()-6+Settings!$B$7+Settings!$B$8),E35+(Settings!$B$7+Settings!$B$8)*D35/1440)+U35/1440)</f>
        <v>46320.6444444444</v>
      </c>
      <c r="X35" s="18" t="str">
        <f aca="false">IF(B35="","",IF(INDEX($E$7:$E$336,ROW()-6+Settings!$B$7+Settings!$B$8)&lt;&gt;"","line","estimate"))</f>
        <v>estimate</v>
      </c>
      <c r="Y35" s="25" t="n">
        <f aca="false">IF(B35="","",INT(W35-Settings!$B$6))</f>
        <v>46320</v>
      </c>
      <c r="Z35" s="19"/>
      <c r="AA35" s="18" t="str">
        <f aca="false">IF(B35="","",IF(AND(B35&lt;&gt;"Empty",F35=""),"part missing; ","")&amp;IF(AND(F35&lt;&gt;"",J35=""),"pieces missing; ","")&amp;IF(AND(F35&lt;&gt;"",O35=""),"part not on the Parts sheet; ","")&amp;IF(AND(B35="Empty",OR(F35&lt;&gt;"",K35&lt;&gt;"")),"empty tray with parts; ","")&amp;IF(AND(B35="Loaded",K35&lt;&gt;""),"second part: type Mixed; ","")&amp;IF(AND(Q35&lt;&gt;"",N(Q35)&gt;1),"over 100 % of the spec load; ","")&amp;IF(N(R35)&gt;Settings!$B$10,"over the tray maximum (kg); ","")&amp;IF(AND(K35&lt;&gt;"",IFERROR(INDEX(Parts!$C$6:$C$45,MATCH(K35,Parts!$A$6:$A$45,0)),O35)&lt;&gt;O35),"different processes in one tray; ","")&amp;IF(AND(S35&lt;&gt;"",T35=""),"rework reason missing; ",""))</f>
        <v/>
      </c>
    </row>
    <row r="36" customFormat="false" ht="15" hidden="false" customHeight="false" outlineLevel="0" collapsed="false">
      <c r="A36" s="18" t="n">
        <f aca="false">IF(B36="","",COUNTA(B$7:B36))</f>
        <v>30</v>
      </c>
      <c r="B36" s="19" t="s">
        <v>95</v>
      </c>
      <c r="C36" s="20"/>
      <c r="D36" s="19" t="n">
        <f aca="false">IF(B36="","",IF(D35="",Report!$B$12,D35))</f>
        <v>10</v>
      </c>
      <c r="E36" s="22" t="n">
        <f aca="false">IF(B36="","",IF(C36&lt;&gt;"",C36,E35+D35/1440+SUMIFS(Holds!$F$7:$F$46,Holds!$B$7:$B$46,"&gt;="&amp;E35,Holds!$B$7:$B$46,"&lt;"&amp;E35+D35/1440)/1440))</f>
        <v>46320.4729166667</v>
      </c>
      <c r="F36" s="19" t="s">
        <v>109</v>
      </c>
      <c r="G36" s="19" t="s">
        <v>110</v>
      </c>
      <c r="H36" s="19" t="s">
        <v>111</v>
      </c>
      <c r="I36" s="19" t="s">
        <v>112</v>
      </c>
      <c r="J36" s="19" t="n">
        <v>24</v>
      </c>
      <c r="K36" s="19"/>
      <c r="L36" s="19"/>
      <c r="M36" s="19"/>
      <c r="N36" s="19"/>
      <c r="O36" s="18" t="str">
        <f aca="false">IF(F36="","",IFERROR(INDEX(Parts!$C$6:$C$45,MATCH(F36,Parts!$A$6:$A$45,0)),""))</f>
        <v>IA</v>
      </c>
      <c r="P36" s="18" t="n">
        <f aca="false">IF(F36="","",IFERROR(INDEX(Parts!$E$6:$E$45,MATCH(F36,Parts!$A$6:$A$45,0)),""))</f>
        <v>24</v>
      </c>
      <c r="Q36" s="23" t="n">
        <f aca="false">IF(OR(J36="",P36="",P36=0),"",J36/P36+IF(OR(N36="",K36=""),0,IFERROR(N36/INDEX(Parts!$E$6:$E$45,MATCH(K36,Parts!$A$6:$A$45,0)),0)))</f>
        <v>1</v>
      </c>
      <c r="R36" s="24" t="n">
        <f aca="false">IF(B36="","",IF(J36="",0,J36*IFERROR(INDEX(Parts!$F$6:$F$45,MATCH(F36,Parts!$A$6:$A$45,0)),0))+IF(N36="",0,N36*IFERROR(INDEX(Parts!$F$6:$F$45,MATCH(K36,Parts!$A$6:$A$45,0)),0)))</f>
        <v>84</v>
      </c>
      <c r="S36" s="19"/>
      <c r="T36" s="19"/>
      <c r="U36" s="18" t="n">
        <f aca="false">IF(B36="","",IF(F36="",Settings!$B$9,IFERROR(INDEX(Parts!$H$6:$H$45,MATCH(F36,Parts!$A$6:$A$45,0))+0,Settings!$B$9)))</f>
        <v>7</v>
      </c>
      <c r="V36" s="22" t="n">
        <f aca="false">IF(B36="","",IF(INDEX($E$7:$E$336,ROW()-6+Settings!$B$7)&lt;&gt;"",INDEX($E$7:$E$336,ROW()-6+Settings!$B$7),E36+Settings!$B$7*D36/1440))</f>
        <v>46320.5631944445</v>
      </c>
      <c r="W36" s="22" t="n">
        <f aca="false">IF(B36="","",IF(INDEX($E$7:$E$336,ROW()-6+Settings!$B$7+Settings!$B$8)&lt;&gt;"",INDEX($E$7:$E$336,ROW()-6+Settings!$B$7+Settings!$B$8),E36+(Settings!$B$7+Settings!$B$8)*D36/1440)+U36/1440)</f>
        <v>46320.6513888889</v>
      </c>
      <c r="X36" s="18" t="str">
        <f aca="false">IF(B36="","",IF(INDEX($E$7:$E$336,ROW()-6+Settings!$B$7+Settings!$B$8)&lt;&gt;"","line","estimate"))</f>
        <v>estimate</v>
      </c>
      <c r="Y36" s="25" t="n">
        <f aca="false">IF(B36="","",INT(W36-Settings!$B$6))</f>
        <v>46320</v>
      </c>
      <c r="Z36" s="19"/>
      <c r="AA36" s="18" t="str">
        <f aca="false">IF(B36="","",IF(AND(B36&lt;&gt;"Empty",F36=""),"part missing; ","")&amp;IF(AND(F36&lt;&gt;"",J36=""),"pieces missing; ","")&amp;IF(AND(F36&lt;&gt;"",O36=""),"part not on the Parts sheet; ","")&amp;IF(AND(B36="Empty",OR(F36&lt;&gt;"",K36&lt;&gt;"")),"empty tray with parts; ","")&amp;IF(AND(B36="Loaded",K36&lt;&gt;""),"second part: type Mixed; ","")&amp;IF(AND(Q36&lt;&gt;"",N(Q36)&gt;1),"over 100 % of the spec load; ","")&amp;IF(N(R36)&gt;Settings!$B$10,"over the tray maximum (kg); ","")&amp;IF(AND(K36&lt;&gt;"",IFERROR(INDEX(Parts!$C$6:$C$45,MATCH(K36,Parts!$A$6:$A$45,0)),O36)&lt;&gt;O36),"different processes in one tray; ","")&amp;IF(AND(S36&lt;&gt;"",T36=""),"rework reason missing; ",""))</f>
        <v/>
      </c>
    </row>
    <row r="37" customFormat="false" ht="15" hidden="false" customHeight="false" outlineLevel="0" collapsed="false">
      <c r="A37" s="18" t="n">
        <f aca="false">IF(B37="","",COUNTA(B$7:B37))</f>
        <v>31</v>
      </c>
      <c r="B37" s="19" t="s">
        <v>95</v>
      </c>
      <c r="C37" s="20"/>
      <c r="D37" s="19" t="n">
        <f aca="false">IF(B37="","",IF(D36="",Report!$B$12,D36))</f>
        <v>10</v>
      </c>
      <c r="E37" s="22" t="n">
        <f aca="false">IF(B37="","",IF(C37&lt;&gt;"",C37,E36+D36/1440+SUMIFS(Holds!$F$7:$F$46,Holds!$B$7:$B$46,"&gt;="&amp;E36,Holds!$B$7:$B$46,"&lt;"&amp;E36+D36/1440)/1440))</f>
        <v>46320.4798611111</v>
      </c>
      <c r="F37" s="19" t="s">
        <v>109</v>
      </c>
      <c r="G37" s="19" t="s">
        <v>110</v>
      </c>
      <c r="H37" s="19" t="s">
        <v>111</v>
      </c>
      <c r="I37" s="19" t="s">
        <v>112</v>
      </c>
      <c r="J37" s="19" t="n">
        <v>24</v>
      </c>
      <c r="K37" s="19"/>
      <c r="L37" s="19"/>
      <c r="M37" s="19"/>
      <c r="N37" s="19"/>
      <c r="O37" s="18" t="str">
        <f aca="false">IF(F37="","",IFERROR(INDEX(Parts!$C$6:$C$45,MATCH(F37,Parts!$A$6:$A$45,0)),""))</f>
        <v>IA</v>
      </c>
      <c r="P37" s="18" t="n">
        <f aca="false">IF(F37="","",IFERROR(INDEX(Parts!$E$6:$E$45,MATCH(F37,Parts!$A$6:$A$45,0)),""))</f>
        <v>24</v>
      </c>
      <c r="Q37" s="23" t="n">
        <f aca="false">IF(OR(J37="",P37="",P37=0),"",J37/P37+IF(OR(N37="",K37=""),0,IFERROR(N37/INDEX(Parts!$E$6:$E$45,MATCH(K37,Parts!$A$6:$A$45,0)),0)))</f>
        <v>1</v>
      </c>
      <c r="R37" s="24" t="n">
        <f aca="false">IF(B37="","",IF(J37="",0,J37*IFERROR(INDEX(Parts!$F$6:$F$45,MATCH(F37,Parts!$A$6:$A$45,0)),0))+IF(N37="",0,N37*IFERROR(INDEX(Parts!$F$6:$F$45,MATCH(K37,Parts!$A$6:$A$45,0)),0)))</f>
        <v>84</v>
      </c>
      <c r="S37" s="19"/>
      <c r="T37" s="19"/>
      <c r="U37" s="18" t="n">
        <f aca="false">IF(B37="","",IF(F37="",Settings!$B$9,IFERROR(INDEX(Parts!$H$6:$H$45,MATCH(F37,Parts!$A$6:$A$45,0))+0,Settings!$B$9)))</f>
        <v>7</v>
      </c>
      <c r="V37" s="22" t="n">
        <f aca="false">IF(B37="","",IF(INDEX($E$7:$E$336,ROW()-6+Settings!$B$7)&lt;&gt;"",INDEX($E$7:$E$336,ROW()-6+Settings!$B$7),E37+Settings!$B$7*D37/1440))</f>
        <v>46320.5701388889</v>
      </c>
      <c r="W37" s="22" t="n">
        <f aca="false">IF(B37="","",IF(INDEX($E$7:$E$336,ROW()-6+Settings!$B$7+Settings!$B$8)&lt;&gt;"",INDEX($E$7:$E$336,ROW()-6+Settings!$B$7+Settings!$B$8),E37+(Settings!$B$7+Settings!$B$8)*D37/1440)+U37/1440)</f>
        <v>46320.6583333333</v>
      </c>
      <c r="X37" s="18" t="str">
        <f aca="false">IF(B37="","",IF(INDEX($E$7:$E$336,ROW()-6+Settings!$B$7+Settings!$B$8)&lt;&gt;"","line","estimate"))</f>
        <v>estimate</v>
      </c>
      <c r="Y37" s="25" t="n">
        <f aca="false">IF(B37="","",INT(W37-Settings!$B$6))</f>
        <v>46320</v>
      </c>
      <c r="Z37" s="19"/>
      <c r="AA37" s="18" t="str">
        <f aca="false">IF(B37="","",IF(AND(B37&lt;&gt;"Empty",F37=""),"part missing; ","")&amp;IF(AND(F37&lt;&gt;"",J37=""),"pieces missing; ","")&amp;IF(AND(F37&lt;&gt;"",O37=""),"part not on the Parts sheet; ","")&amp;IF(AND(B37="Empty",OR(F37&lt;&gt;"",K37&lt;&gt;"")),"empty tray with parts; ","")&amp;IF(AND(B37="Loaded",K37&lt;&gt;""),"second part: type Mixed; ","")&amp;IF(AND(Q37&lt;&gt;"",N(Q37)&gt;1),"over 100 % of the spec load; ","")&amp;IF(N(R37)&gt;Settings!$B$10,"over the tray maximum (kg); ","")&amp;IF(AND(K37&lt;&gt;"",IFERROR(INDEX(Parts!$C$6:$C$45,MATCH(K37,Parts!$A$6:$A$45,0)),O37)&lt;&gt;O37),"different processes in one tray; ","")&amp;IF(AND(S37&lt;&gt;"",T37=""),"rework reason missing; ",""))</f>
        <v/>
      </c>
    </row>
    <row r="38" customFormat="false" ht="15" hidden="false" customHeight="false" outlineLevel="0" collapsed="false">
      <c r="A38" s="18" t="n">
        <f aca="false">IF(B38="","",COUNTA(B$7:B38))</f>
        <v>32</v>
      </c>
      <c r="B38" s="19" t="s">
        <v>95</v>
      </c>
      <c r="C38" s="20"/>
      <c r="D38" s="19" t="n">
        <f aca="false">IF(B38="","",IF(D37="",Report!$B$12,D37))</f>
        <v>10</v>
      </c>
      <c r="E38" s="22" t="n">
        <f aca="false">IF(B38="","",IF(C38&lt;&gt;"",C38,E37+D37/1440+SUMIFS(Holds!$F$7:$F$46,Holds!$B$7:$B$46,"&gt;="&amp;E37,Holds!$B$7:$B$46,"&lt;"&amp;E37+D37/1440)/1440))</f>
        <v>46320.4868055556</v>
      </c>
      <c r="F38" s="19" t="s">
        <v>109</v>
      </c>
      <c r="G38" s="19" t="s">
        <v>110</v>
      </c>
      <c r="H38" s="19" t="s">
        <v>111</v>
      </c>
      <c r="I38" s="19" t="s">
        <v>112</v>
      </c>
      <c r="J38" s="19" t="n">
        <v>24</v>
      </c>
      <c r="K38" s="19"/>
      <c r="L38" s="19"/>
      <c r="M38" s="19"/>
      <c r="N38" s="19"/>
      <c r="O38" s="18" t="str">
        <f aca="false">IF(F38="","",IFERROR(INDEX(Parts!$C$6:$C$45,MATCH(F38,Parts!$A$6:$A$45,0)),""))</f>
        <v>IA</v>
      </c>
      <c r="P38" s="18" t="n">
        <f aca="false">IF(F38="","",IFERROR(INDEX(Parts!$E$6:$E$45,MATCH(F38,Parts!$A$6:$A$45,0)),""))</f>
        <v>24</v>
      </c>
      <c r="Q38" s="23" t="n">
        <f aca="false">IF(OR(J38="",P38="",P38=0),"",J38/P38+IF(OR(N38="",K38=""),0,IFERROR(N38/INDEX(Parts!$E$6:$E$45,MATCH(K38,Parts!$A$6:$A$45,0)),0)))</f>
        <v>1</v>
      </c>
      <c r="R38" s="24" t="n">
        <f aca="false">IF(B38="","",IF(J38="",0,J38*IFERROR(INDEX(Parts!$F$6:$F$45,MATCH(F38,Parts!$A$6:$A$45,0)),0))+IF(N38="",0,N38*IFERROR(INDEX(Parts!$F$6:$F$45,MATCH(K38,Parts!$A$6:$A$45,0)),0)))</f>
        <v>84</v>
      </c>
      <c r="S38" s="19"/>
      <c r="T38" s="19"/>
      <c r="U38" s="18" t="n">
        <f aca="false">IF(B38="","",IF(F38="",Settings!$B$9,IFERROR(INDEX(Parts!$H$6:$H$45,MATCH(F38,Parts!$A$6:$A$45,0))+0,Settings!$B$9)))</f>
        <v>7</v>
      </c>
      <c r="V38" s="22" t="n">
        <f aca="false">IF(B38="","",IF(INDEX($E$7:$E$336,ROW()-6+Settings!$B$7)&lt;&gt;"",INDEX($E$7:$E$336,ROW()-6+Settings!$B$7),E38+Settings!$B$7*D38/1440))</f>
        <v>46320.5770833333</v>
      </c>
      <c r="W38" s="22" t="n">
        <f aca="false">IF(B38="","",IF(INDEX($E$7:$E$336,ROW()-6+Settings!$B$7+Settings!$B$8)&lt;&gt;"",INDEX($E$7:$E$336,ROW()-6+Settings!$B$7+Settings!$B$8),E38+(Settings!$B$7+Settings!$B$8)*D38/1440)+U38/1440)</f>
        <v>46320.6652777778</v>
      </c>
      <c r="X38" s="18" t="str">
        <f aca="false">IF(B38="","",IF(INDEX($E$7:$E$336,ROW()-6+Settings!$B$7+Settings!$B$8)&lt;&gt;"","line","estimate"))</f>
        <v>estimate</v>
      </c>
      <c r="Y38" s="25" t="n">
        <f aca="false">IF(B38="","",INT(W38-Settings!$B$6))</f>
        <v>46320</v>
      </c>
      <c r="Z38" s="19"/>
      <c r="AA38" s="18" t="str">
        <f aca="false">IF(B38="","",IF(AND(B38&lt;&gt;"Empty",F38=""),"part missing; ","")&amp;IF(AND(F38&lt;&gt;"",J38=""),"pieces missing; ","")&amp;IF(AND(F38&lt;&gt;"",O38=""),"part not on the Parts sheet; ","")&amp;IF(AND(B38="Empty",OR(F38&lt;&gt;"",K38&lt;&gt;"")),"empty tray with parts; ","")&amp;IF(AND(B38="Loaded",K38&lt;&gt;""),"second part: type Mixed; ","")&amp;IF(AND(Q38&lt;&gt;"",N(Q38)&gt;1),"over 100 % of the spec load; ","")&amp;IF(N(R38)&gt;Settings!$B$10,"over the tray maximum (kg); ","")&amp;IF(AND(K38&lt;&gt;"",IFERROR(INDEX(Parts!$C$6:$C$45,MATCH(K38,Parts!$A$6:$A$45,0)),O38)&lt;&gt;O38),"different processes in one tray; ","")&amp;IF(AND(S38&lt;&gt;"",T38=""),"rework reason missing; ",""))</f>
        <v/>
      </c>
    </row>
    <row r="39" customFormat="false" ht="15" hidden="false" customHeight="false" outlineLevel="0" collapsed="false">
      <c r="A39" s="18" t="n">
        <f aca="false">IF(B39="","",COUNTA(B$7:B39))</f>
        <v>33</v>
      </c>
      <c r="B39" s="19" t="s">
        <v>95</v>
      </c>
      <c r="C39" s="20"/>
      <c r="D39" s="19" t="n">
        <f aca="false">IF(B39="","",IF(D38="",Report!$B$12,D38))</f>
        <v>10</v>
      </c>
      <c r="E39" s="22" t="n">
        <f aca="false">IF(B39="","",IF(C39&lt;&gt;"",C39,E38+D38/1440+SUMIFS(Holds!$F$7:$F$46,Holds!$B$7:$B$46,"&gt;="&amp;E38,Holds!$B$7:$B$46,"&lt;"&amp;E38+D38/1440)/1440))</f>
        <v>46320.49375</v>
      </c>
      <c r="F39" s="19" t="s">
        <v>109</v>
      </c>
      <c r="G39" s="19" t="s">
        <v>110</v>
      </c>
      <c r="H39" s="19" t="s">
        <v>111</v>
      </c>
      <c r="I39" s="19" t="s">
        <v>112</v>
      </c>
      <c r="J39" s="19" t="n">
        <v>24</v>
      </c>
      <c r="K39" s="19"/>
      <c r="L39" s="19"/>
      <c r="M39" s="19"/>
      <c r="N39" s="19"/>
      <c r="O39" s="18" t="str">
        <f aca="false">IF(F39="","",IFERROR(INDEX(Parts!$C$6:$C$45,MATCH(F39,Parts!$A$6:$A$45,0)),""))</f>
        <v>IA</v>
      </c>
      <c r="P39" s="18" t="n">
        <f aca="false">IF(F39="","",IFERROR(INDEX(Parts!$E$6:$E$45,MATCH(F39,Parts!$A$6:$A$45,0)),""))</f>
        <v>24</v>
      </c>
      <c r="Q39" s="23" t="n">
        <f aca="false">IF(OR(J39="",P39="",P39=0),"",J39/P39+IF(OR(N39="",K39=""),0,IFERROR(N39/INDEX(Parts!$E$6:$E$45,MATCH(K39,Parts!$A$6:$A$45,0)),0)))</f>
        <v>1</v>
      </c>
      <c r="R39" s="24" t="n">
        <f aca="false">IF(B39="","",IF(J39="",0,J39*IFERROR(INDEX(Parts!$F$6:$F$45,MATCH(F39,Parts!$A$6:$A$45,0)),0))+IF(N39="",0,N39*IFERROR(INDEX(Parts!$F$6:$F$45,MATCH(K39,Parts!$A$6:$A$45,0)),0)))</f>
        <v>84</v>
      </c>
      <c r="S39" s="19"/>
      <c r="T39" s="19"/>
      <c r="U39" s="18" t="n">
        <f aca="false">IF(B39="","",IF(F39="",Settings!$B$9,IFERROR(INDEX(Parts!$H$6:$H$45,MATCH(F39,Parts!$A$6:$A$45,0))+0,Settings!$B$9)))</f>
        <v>7</v>
      </c>
      <c r="V39" s="22" t="n">
        <f aca="false">IF(B39="","",IF(INDEX($E$7:$E$336,ROW()-6+Settings!$B$7)&lt;&gt;"",INDEX($E$7:$E$336,ROW()-6+Settings!$B$7),E39+Settings!$B$7*D39/1440))</f>
        <v>46320.5840277778</v>
      </c>
      <c r="W39" s="22" t="n">
        <f aca="false">IF(B39="","",IF(INDEX($E$7:$E$336,ROW()-6+Settings!$B$7+Settings!$B$8)&lt;&gt;"",INDEX($E$7:$E$336,ROW()-6+Settings!$B$7+Settings!$B$8),E39+(Settings!$B$7+Settings!$B$8)*D39/1440)+U39/1440)</f>
        <v>46320.6722222222</v>
      </c>
      <c r="X39" s="18" t="str">
        <f aca="false">IF(B39="","",IF(INDEX($E$7:$E$336,ROW()-6+Settings!$B$7+Settings!$B$8)&lt;&gt;"","line","estimate"))</f>
        <v>estimate</v>
      </c>
      <c r="Y39" s="25" t="n">
        <f aca="false">IF(B39="","",INT(W39-Settings!$B$6))</f>
        <v>46320</v>
      </c>
      <c r="Z39" s="19"/>
      <c r="AA39" s="18" t="str">
        <f aca="false">IF(B39="","",IF(AND(B39&lt;&gt;"Empty",F39=""),"part missing; ","")&amp;IF(AND(F39&lt;&gt;"",J39=""),"pieces missing; ","")&amp;IF(AND(F39&lt;&gt;"",O39=""),"part not on the Parts sheet; ","")&amp;IF(AND(B39="Empty",OR(F39&lt;&gt;"",K39&lt;&gt;"")),"empty tray with parts; ","")&amp;IF(AND(B39="Loaded",K39&lt;&gt;""),"second part: type Mixed; ","")&amp;IF(AND(Q39&lt;&gt;"",N(Q39)&gt;1),"over 100 % of the spec load; ","")&amp;IF(N(R39)&gt;Settings!$B$10,"over the tray maximum (kg); ","")&amp;IF(AND(K39&lt;&gt;"",IFERROR(INDEX(Parts!$C$6:$C$45,MATCH(K39,Parts!$A$6:$A$45,0)),O39)&lt;&gt;O39),"different processes in one tray; ","")&amp;IF(AND(S39&lt;&gt;"",T39=""),"rework reason missing; ",""))</f>
        <v/>
      </c>
    </row>
    <row r="40" customFormat="false" ht="15" hidden="false" customHeight="false" outlineLevel="0" collapsed="false">
      <c r="A40" s="18" t="n">
        <f aca="false">IF(B40="","",COUNTA(B$7:B40))</f>
        <v>34</v>
      </c>
      <c r="B40" s="19" t="s">
        <v>95</v>
      </c>
      <c r="C40" s="20"/>
      <c r="D40" s="19" t="n">
        <f aca="false">IF(B40="","",IF(D39="",Report!$B$12,D39))</f>
        <v>10</v>
      </c>
      <c r="E40" s="22" t="n">
        <f aca="false">IF(B40="","",IF(C40&lt;&gt;"",C40,E39+D39/1440+SUMIFS(Holds!$F$7:$F$46,Holds!$B$7:$B$46,"&gt;="&amp;E39,Holds!$B$7:$B$46,"&lt;"&amp;E39+D39/1440)/1440))</f>
        <v>46320.5006944445</v>
      </c>
      <c r="F40" s="19" t="s">
        <v>109</v>
      </c>
      <c r="G40" s="19" t="s">
        <v>110</v>
      </c>
      <c r="H40" s="19" t="s">
        <v>111</v>
      </c>
      <c r="I40" s="19" t="s">
        <v>112</v>
      </c>
      <c r="J40" s="19" t="n">
        <v>24</v>
      </c>
      <c r="K40" s="19"/>
      <c r="L40" s="19"/>
      <c r="M40" s="19"/>
      <c r="N40" s="19"/>
      <c r="O40" s="18" t="str">
        <f aca="false">IF(F40="","",IFERROR(INDEX(Parts!$C$6:$C$45,MATCH(F40,Parts!$A$6:$A$45,0)),""))</f>
        <v>IA</v>
      </c>
      <c r="P40" s="18" t="n">
        <f aca="false">IF(F40="","",IFERROR(INDEX(Parts!$E$6:$E$45,MATCH(F40,Parts!$A$6:$A$45,0)),""))</f>
        <v>24</v>
      </c>
      <c r="Q40" s="23" t="n">
        <f aca="false">IF(OR(J40="",P40="",P40=0),"",J40/P40+IF(OR(N40="",K40=""),0,IFERROR(N40/INDEX(Parts!$E$6:$E$45,MATCH(K40,Parts!$A$6:$A$45,0)),0)))</f>
        <v>1</v>
      </c>
      <c r="R40" s="24" t="n">
        <f aca="false">IF(B40="","",IF(J40="",0,J40*IFERROR(INDEX(Parts!$F$6:$F$45,MATCH(F40,Parts!$A$6:$A$45,0)),0))+IF(N40="",0,N40*IFERROR(INDEX(Parts!$F$6:$F$45,MATCH(K40,Parts!$A$6:$A$45,0)),0)))</f>
        <v>84</v>
      </c>
      <c r="S40" s="19"/>
      <c r="T40" s="19"/>
      <c r="U40" s="18" t="n">
        <f aca="false">IF(B40="","",IF(F40="",Settings!$B$9,IFERROR(INDEX(Parts!$H$6:$H$45,MATCH(F40,Parts!$A$6:$A$45,0))+0,Settings!$B$9)))</f>
        <v>7</v>
      </c>
      <c r="V40" s="22" t="n">
        <f aca="false">IF(B40="","",IF(INDEX($E$7:$E$336,ROW()-6+Settings!$B$7)&lt;&gt;"",INDEX($E$7:$E$336,ROW()-6+Settings!$B$7),E40+Settings!$B$7*D40/1440))</f>
        <v>46320.5909722222</v>
      </c>
      <c r="W40" s="22" t="n">
        <f aca="false">IF(B40="","",IF(INDEX($E$7:$E$336,ROW()-6+Settings!$B$7+Settings!$B$8)&lt;&gt;"",INDEX($E$7:$E$336,ROW()-6+Settings!$B$7+Settings!$B$8),E40+(Settings!$B$7+Settings!$B$8)*D40/1440)+U40/1440)</f>
        <v>46320.6791666667</v>
      </c>
      <c r="X40" s="18" t="str">
        <f aca="false">IF(B40="","",IF(INDEX($E$7:$E$336,ROW()-6+Settings!$B$7+Settings!$B$8)&lt;&gt;"","line","estimate"))</f>
        <v>estimate</v>
      </c>
      <c r="Y40" s="25" t="n">
        <f aca="false">IF(B40="","",INT(W40-Settings!$B$6))</f>
        <v>46320</v>
      </c>
      <c r="Z40" s="19"/>
      <c r="AA40" s="18" t="str">
        <f aca="false">IF(B40="","",IF(AND(B40&lt;&gt;"Empty",F40=""),"part missing; ","")&amp;IF(AND(F40&lt;&gt;"",J40=""),"pieces missing; ","")&amp;IF(AND(F40&lt;&gt;"",O40=""),"part not on the Parts sheet; ","")&amp;IF(AND(B40="Empty",OR(F40&lt;&gt;"",K40&lt;&gt;"")),"empty tray with parts; ","")&amp;IF(AND(B40="Loaded",K40&lt;&gt;""),"second part: type Mixed; ","")&amp;IF(AND(Q40&lt;&gt;"",N(Q40)&gt;1),"over 100 % of the spec load; ","")&amp;IF(N(R40)&gt;Settings!$B$10,"over the tray maximum (kg); ","")&amp;IF(AND(K40&lt;&gt;"",IFERROR(INDEX(Parts!$C$6:$C$45,MATCH(K40,Parts!$A$6:$A$45,0)),O40)&lt;&gt;O40),"different processes in one tray; ","")&amp;IF(AND(S40&lt;&gt;"",T40=""),"rework reason missing; ",""))</f>
        <v/>
      </c>
    </row>
    <row r="41" customFormat="false" ht="15" hidden="false" customHeight="false" outlineLevel="0" collapsed="false">
      <c r="A41" s="18" t="n">
        <f aca="false">IF(B41="","",COUNTA(B$7:B41))</f>
        <v>35</v>
      </c>
      <c r="B41" s="19" t="s">
        <v>95</v>
      </c>
      <c r="C41" s="20"/>
      <c r="D41" s="19" t="n">
        <f aca="false">IF(B41="","",IF(D40="",Report!$B$12,D40))</f>
        <v>10</v>
      </c>
      <c r="E41" s="22" t="n">
        <f aca="false">IF(B41="","",IF(C41&lt;&gt;"",C41,E40+D40/1440+SUMIFS(Holds!$F$7:$F$46,Holds!$B$7:$B$46,"&gt;="&amp;E40,Holds!$B$7:$B$46,"&lt;"&amp;E40+D40/1440)/1440))</f>
        <v>46320.5076388889</v>
      </c>
      <c r="F41" s="19" t="s">
        <v>109</v>
      </c>
      <c r="G41" s="19" t="s">
        <v>110</v>
      </c>
      <c r="H41" s="19" t="s">
        <v>111</v>
      </c>
      <c r="I41" s="19" t="s">
        <v>112</v>
      </c>
      <c r="J41" s="19" t="n">
        <v>24</v>
      </c>
      <c r="K41" s="19"/>
      <c r="L41" s="19"/>
      <c r="M41" s="19"/>
      <c r="N41" s="19"/>
      <c r="O41" s="18" t="str">
        <f aca="false">IF(F41="","",IFERROR(INDEX(Parts!$C$6:$C$45,MATCH(F41,Parts!$A$6:$A$45,0)),""))</f>
        <v>IA</v>
      </c>
      <c r="P41" s="18" t="n">
        <f aca="false">IF(F41="","",IFERROR(INDEX(Parts!$E$6:$E$45,MATCH(F41,Parts!$A$6:$A$45,0)),""))</f>
        <v>24</v>
      </c>
      <c r="Q41" s="23" t="n">
        <f aca="false">IF(OR(J41="",P41="",P41=0),"",J41/P41+IF(OR(N41="",K41=""),0,IFERROR(N41/INDEX(Parts!$E$6:$E$45,MATCH(K41,Parts!$A$6:$A$45,0)),0)))</f>
        <v>1</v>
      </c>
      <c r="R41" s="24" t="n">
        <f aca="false">IF(B41="","",IF(J41="",0,J41*IFERROR(INDEX(Parts!$F$6:$F$45,MATCH(F41,Parts!$A$6:$A$45,0)),0))+IF(N41="",0,N41*IFERROR(INDEX(Parts!$F$6:$F$45,MATCH(K41,Parts!$A$6:$A$45,0)),0)))</f>
        <v>84</v>
      </c>
      <c r="S41" s="19"/>
      <c r="T41" s="19"/>
      <c r="U41" s="18" t="n">
        <f aca="false">IF(B41="","",IF(F41="",Settings!$B$9,IFERROR(INDEX(Parts!$H$6:$H$45,MATCH(F41,Parts!$A$6:$A$45,0))+0,Settings!$B$9)))</f>
        <v>7</v>
      </c>
      <c r="V41" s="22" t="n">
        <f aca="false">IF(B41="","",IF(INDEX($E$7:$E$336,ROW()-6+Settings!$B$7)&lt;&gt;"",INDEX($E$7:$E$336,ROW()-6+Settings!$B$7),E41+Settings!$B$7*D41/1440))</f>
        <v>46320.5979166667</v>
      </c>
      <c r="W41" s="22" t="n">
        <f aca="false">IF(B41="","",IF(INDEX($E$7:$E$336,ROW()-6+Settings!$B$7+Settings!$B$8)&lt;&gt;"",INDEX($E$7:$E$336,ROW()-6+Settings!$B$7+Settings!$B$8),E41+(Settings!$B$7+Settings!$B$8)*D41/1440)+U41/1440)</f>
        <v>46320.6861111111</v>
      </c>
      <c r="X41" s="18" t="str">
        <f aca="false">IF(B41="","",IF(INDEX($E$7:$E$336,ROW()-6+Settings!$B$7+Settings!$B$8)&lt;&gt;"","line","estimate"))</f>
        <v>estimate</v>
      </c>
      <c r="Y41" s="25" t="n">
        <f aca="false">IF(B41="","",INT(W41-Settings!$B$6))</f>
        <v>46320</v>
      </c>
      <c r="Z41" s="19"/>
      <c r="AA41" s="18" t="str">
        <f aca="false">IF(B41="","",IF(AND(B41&lt;&gt;"Empty",F41=""),"part missing; ","")&amp;IF(AND(F41&lt;&gt;"",J41=""),"pieces missing; ","")&amp;IF(AND(F41&lt;&gt;"",O41=""),"part not on the Parts sheet; ","")&amp;IF(AND(B41="Empty",OR(F41&lt;&gt;"",K41&lt;&gt;"")),"empty tray with parts; ","")&amp;IF(AND(B41="Loaded",K41&lt;&gt;""),"second part: type Mixed; ","")&amp;IF(AND(Q41&lt;&gt;"",N(Q41)&gt;1),"over 100 % of the spec load; ","")&amp;IF(N(R41)&gt;Settings!$B$10,"over the tray maximum (kg); ","")&amp;IF(AND(K41&lt;&gt;"",IFERROR(INDEX(Parts!$C$6:$C$45,MATCH(K41,Parts!$A$6:$A$45,0)),O41)&lt;&gt;O41),"different processes in one tray; ","")&amp;IF(AND(S41&lt;&gt;"",T41=""),"rework reason missing; ",""))</f>
        <v/>
      </c>
    </row>
    <row r="42" customFormat="false" ht="15" hidden="false" customHeight="false" outlineLevel="0" collapsed="false">
      <c r="A42" s="18" t="n">
        <f aca="false">IF(B42="","",COUNTA(B$7:B42))</f>
        <v>36</v>
      </c>
      <c r="B42" s="19" t="s">
        <v>95</v>
      </c>
      <c r="C42" s="20"/>
      <c r="D42" s="19" t="n">
        <f aca="false">IF(B42="","",IF(D41="",Report!$B$12,D41))</f>
        <v>10</v>
      </c>
      <c r="E42" s="22" t="n">
        <f aca="false">IF(B42="","",IF(C42&lt;&gt;"",C42,E41+D41/1440+SUMIFS(Holds!$F$7:$F$46,Holds!$B$7:$B$46,"&gt;="&amp;E41,Holds!$B$7:$B$46,"&lt;"&amp;E41+D41/1440)/1440))</f>
        <v>46320.5145833333</v>
      </c>
      <c r="F42" s="19" t="s">
        <v>109</v>
      </c>
      <c r="G42" s="19" t="s">
        <v>110</v>
      </c>
      <c r="H42" s="19" t="s">
        <v>111</v>
      </c>
      <c r="I42" s="19" t="s">
        <v>112</v>
      </c>
      <c r="J42" s="19" t="n">
        <v>24</v>
      </c>
      <c r="K42" s="19"/>
      <c r="L42" s="19"/>
      <c r="M42" s="19"/>
      <c r="N42" s="19"/>
      <c r="O42" s="18" t="str">
        <f aca="false">IF(F42="","",IFERROR(INDEX(Parts!$C$6:$C$45,MATCH(F42,Parts!$A$6:$A$45,0)),""))</f>
        <v>IA</v>
      </c>
      <c r="P42" s="18" t="n">
        <f aca="false">IF(F42="","",IFERROR(INDEX(Parts!$E$6:$E$45,MATCH(F42,Parts!$A$6:$A$45,0)),""))</f>
        <v>24</v>
      </c>
      <c r="Q42" s="23" t="n">
        <f aca="false">IF(OR(J42="",P42="",P42=0),"",J42/P42+IF(OR(N42="",K42=""),0,IFERROR(N42/INDEX(Parts!$E$6:$E$45,MATCH(K42,Parts!$A$6:$A$45,0)),0)))</f>
        <v>1</v>
      </c>
      <c r="R42" s="24" t="n">
        <f aca="false">IF(B42="","",IF(J42="",0,J42*IFERROR(INDEX(Parts!$F$6:$F$45,MATCH(F42,Parts!$A$6:$A$45,0)),0))+IF(N42="",0,N42*IFERROR(INDEX(Parts!$F$6:$F$45,MATCH(K42,Parts!$A$6:$A$45,0)),0)))</f>
        <v>84</v>
      </c>
      <c r="S42" s="19"/>
      <c r="T42" s="19"/>
      <c r="U42" s="18" t="n">
        <f aca="false">IF(B42="","",IF(F42="",Settings!$B$9,IFERROR(INDEX(Parts!$H$6:$H$45,MATCH(F42,Parts!$A$6:$A$45,0))+0,Settings!$B$9)))</f>
        <v>7</v>
      </c>
      <c r="V42" s="22" t="n">
        <f aca="false">IF(B42="","",IF(INDEX($E$7:$E$336,ROW()-6+Settings!$B$7)&lt;&gt;"",INDEX($E$7:$E$336,ROW()-6+Settings!$B$7),E42+Settings!$B$7*D42/1440))</f>
        <v>46320.6048611111</v>
      </c>
      <c r="W42" s="22" t="n">
        <f aca="false">IF(B42="","",IF(INDEX($E$7:$E$336,ROW()-6+Settings!$B$7+Settings!$B$8)&lt;&gt;"",INDEX($E$7:$E$336,ROW()-6+Settings!$B$7+Settings!$B$8),E42+(Settings!$B$7+Settings!$B$8)*D42/1440)+U42/1440)</f>
        <v>46320.6930555556</v>
      </c>
      <c r="X42" s="18" t="str">
        <f aca="false">IF(B42="","",IF(INDEX($E$7:$E$336,ROW()-6+Settings!$B$7+Settings!$B$8)&lt;&gt;"","line","estimate"))</f>
        <v>estimate</v>
      </c>
      <c r="Y42" s="25" t="n">
        <f aca="false">IF(B42="","",INT(W42-Settings!$B$6))</f>
        <v>46320</v>
      </c>
      <c r="Z42" s="19"/>
      <c r="AA42" s="18" t="str">
        <f aca="false">IF(B42="","",IF(AND(B42&lt;&gt;"Empty",F42=""),"part missing; ","")&amp;IF(AND(F42&lt;&gt;"",J42=""),"pieces missing; ","")&amp;IF(AND(F42&lt;&gt;"",O42=""),"part not on the Parts sheet; ","")&amp;IF(AND(B42="Empty",OR(F42&lt;&gt;"",K42&lt;&gt;"")),"empty tray with parts; ","")&amp;IF(AND(B42="Loaded",K42&lt;&gt;""),"second part: type Mixed; ","")&amp;IF(AND(Q42&lt;&gt;"",N(Q42)&gt;1),"over 100 % of the spec load; ","")&amp;IF(N(R42)&gt;Settings!$B$10,"over the tray maximum (kg); ","")&amp;IF(AND(K42&lt;&gt;"",IFERROR(INDEX(Parts!$C$6:$C$45,MATCH(K42,Parts!$A$6:$A$45,0)),O42)&lt;&gt;O42),"different processes in one tray; ","")&amp;IF(AND(S42&lt;&gt;"",T42=""),"rework reason missing; ",""))</f>
        <v/>
      </c>
    </row>
    <row r="43" customFormat="false" ht="15" hidden="false" customHeight="false" outlineLevel="0" collapsed="false">
      <c r="A43" s="18" t="n">
        <f aca="false">IF(B43="","",COUNTA(B$7:B43))</f>
        <v>37</v>
      </c>
      <c r="B43" s="19" t="s">
        <v>95</v>
      </c>
      <c r="C43" s="20"/>
      <c r="D43" s="19" t="n">
        <f aca="false">IF(B43="","",IF(D42="",Report!$B$12,D42))</f>
        <v>10</v>
      </c>
      <c r="E43" s="22" t="n">
        <f aca="false">IF(B43="","",IF(C43&lt;&gt;"",C43,E42+D42/1440+SUMIFS(Holds!$F$7:$F$46,Holds!$B$7:$B$46,"&gt;="&amp;E42,Holds!$B$7:$B$46,"&lt;"&amp;E42+D42/1440)/1440))</f>
        <v>46320.5215277778</v>
      </c>
      <c r="F43" s="19" t="s">
        <v>109</v>
      </c>
      <c r="G43" s="19" t="s">
        <v>110</v>
      </c>
      <c r="H43" s="19" t="s">
        <v>111</v>
      </c>
      <c r="I43" s="19" t="s">
        <v>112</v>
      </c>
      <c r="J43" s="19" t="n">
        <v>24</v>
      </c>
      <c r="K43" s="19"/>
      <c r="L43" s="19"/>
      <c r="M43" s="19"/>
      <c r="N43" s="19"/>
      <c r="O43" s="18" t="str">
        <f aca="false">IF(F43="","",IFERROR(INDEX(Parts!$C$6:$C$45,MATCH(F43,Parts!$A$6:$A$45,0)),""))</f>
        <v>IA</v>
      </c>
      <c r="P43" s="18" t="n">
        <f aca="false">IF(F43="","",IFERROR(INDEX(Parts!$E$6:$E$45,MATCH(F43,Parts!$A$6:$A$45,0)),""))</f>
        <v>24</v>
      </c>
      <c r="Q43" s="23" t="n">
        <f aca="false">IF(OR(J43="",P43="",P43=0),"",J43/P43+IF(OR(N43="",K43=""),0,IFERROR(N43/INDEX(Parts!$E$6:$E$45,MATCH(K43,Parts!$A$6:$A$45,0)),0)))</f>
        <v>1</v>
      </c>
      <c r="R43" s="24" t="n">
        <f aca="false">IF(B43="","",IF(J43="",0,J43*IFERROR(INDEX(Parts!$F$6:$F$45,MATCH(F43,Parts!$A$6:$A$45,0)),0))+IF(N43="",0,N43*IFERROR(INDEX(Parts!$F$6:$F$45,MATCH(K43,Parts!$A$6:$A$45,0)),0)))</f>
        <v>84</v>
      </c>
      <c r="S43" s="19"/>
      <c r="T43" s="19"/>
      <c r="U43" s="18" t="n">
        <f aca="false">IF(B43="","",IF(F43="",Settings!$B$9,IFERROR(INDEX(Parts!$H$6:$H$45,MATCH(F43,Parts!$A$6:$A$45,0))+0,Settings!$B$9)))</f>
        <v>7</v>
      </c>
      <c r="V43" s="22" t="n">
        <f aca="false">IF(B43="","",IF(INDEX($E$7:$E$336,ROW()-6+Settings!$B$7)&lt;&gt;"",INDEX($E$7:$E$336,ROW()-6+Settings!$B$7),E43+Settings!$B$7*D43/1440))</f>
        <v>46320.6118055556</v>
      </c>
      <c r="W43" s="22" t="n">
        <f aca="false">IF(B43="","",IF(INDEX($E$7:$E$336,ROW()-6+Settings!$B$7+Settings!$B$8)&lt;&gt;"",INDEX($E$7:$E$336,ROW()-6+Settings!$B$7+Settings!$B$8),E43+(Settings!$B$7+Settings!$B$8)*D43/1440)+U43/1440)</f>
        <v>46320.7</v>
      </c>
      <c r="X43" s="18" t="str">
        <f aca="false">IF(B43="","",IF(INDEX($E$7:$E$336,ROW()-6+Settings!$B$7+Settings!$B$8)&lt;&gt;"","line","estimate"))</f>
        <v>estimate</v>
      </c>
      <c r="Y43" s="25" t="n">
        <f aca="false">IF(B43="","",INT(W43-Settings!$B$6))</f>
        <v>46320</v>
      </c>
      <c r="Z43" s="19"/>
      <c r="AA43" s="18" t="str">
        <f aca="false">IF(B43="","",IF(AND(B43&lt;&gt;"Empty",F43=""),"part missing; ","")&amp;IF(AND(F43&lt;&gt;"",J43=""),"pieces missing; ","")&amp;IF(AND(F43&lt;&gt;"",O43=""),"part not on the Parts sheet; ","")&amp;IF(AND(B43="Empty",OR(F43&lt;&gt;"",K43&lt;&gt;"")),"empty tray with parts; ","")&amp;IF(AND(B43="Loaded",K43&lt;&gt;""),"second part: type Mixed; ","")&amp;IF(AND(Q43&lt;&gt;"",N(Q43)&gt;1),"over 100 % of the spec load; ","")&amp;IF(N(R43)&gt;Settings!$B$10,"over the tray maximum (kg); ","")&amp;IF(AND(K43&lt;&gt;"",IFERROR(INDEX(Parts!$C$6:$C$45,MATCH(K43,Parts!$A$6:$A$45,0)),O43)&lt;&gt;O43),"different processes in one tray; ","")&amp;IF(AND(S43&lt;&gt;"",T43=""),"rework reason missing; ",""))</f>
        <v/>
      </c>
    </row>
    <row r="44" customFormat="false" ht="15" hidden="false" customHeight="false" outlineLevel="0" collapsed="false">
      <c r="A44" s="18" t="n">
        <f aca="false">IF(B44="","",COUNTA(B$7:B44))</f>
        <v>38</v>
      </c>
      <c r="B44" s="19" t="s">
        <v>95</v>
      </c>
      <c r="C44" s="20"/>
      <c r="D44" s="19" t="n">
        <f aca="false">IF(B44="","",IF(D43="",Report!$B$12,D43))</f>
        <v>10</v>
      </c>
      <c r="E44" s="22" t="n">
        <f aca="false">IF(B44="","",IF(C44&lt;&gt;"",C44,E43+D43/1440+SUMIFS(Holds!$F$7:$F$46,Holds!$B$7:$B$46,"&gt;="&amp;E43,Holds!$B$7:$B$46,"&lt;"&amp;E43+D43/1440)/1440))</f>
        <v>46320.5284722222</v>
      </c>
      <c r="F44" s="19" t="s">
        <v>109</v>
      </c>
      <c r="G44" s="19" t="s">
        <v>110</v>
      </c>
      <c r="H44" s="19" t="s">
        <v>111</v>
      </c>
      <c r="I44" s="19" t="s">
        <v>112</v>
      </c>
      <c r="J44" s="19" t="n">
        <v>24</v>
      </c>
      <c r="K44" s="19"/>
      <c r="L44" s="19"/>
      <c r="M44" s="19"/>
      <c r="N44" s="19"/>
      <c r="O44" s="18" t="str">
        <f aca="false">IF(F44="","",IFERROR(INDEX(Parts!$C$6:$C$45,MATCH(F44,Parts!$A$6:$A$45,0)),""))</f>
        <v>IA</v>
      </c>
      <c r="P44" s="18" t="n">
        <f aca="false">IF(F44="","",IFERROR(INDEX(Parts!$E$6:$E$45,MATCH(F44,Parts!$A$6:$A$45,0)),""))</f>
        <v>24</v>
      </c>
      <c r="Q44" s="23" t="n">
        <f aca="false">IF(OR(J44="",P44="",P44=0),"",J44/P44+IF(OR(N44="",K44=""),0,IFERROR(N44/INDEX(Parts!$E$6:$E$45,MATCH(K44,Parts!$A$6:$A$45,0)),0)))</f>
        <v>1</v>
      </c>
      <c r="R44" s="24" t="n">
        <f aca="false">IF(B44="","",IF(J44="",0,J44*IFERROR(INDEX(Parts!$F$6:$F$45,MATCH(F44,Parts!$A$6:$A$45,0)),0))+IF(N44="",0,N44*IFERROR(INDEX(Parts!$F$6:$F$45,MATCH(K44,Parts!$A$6:$A$45,0)),0)))</f>
        <v>84</v>
      </c>
      <c r="S44" s="19"/>
      <c r="T44" s="19"/>
      <c r="U44" s="18" t="n">
        <f aca="false">IF(B44="","",IF(F44="",Settings!$B$9,IFERROR(INDEX(Parts!$H$6:$H$45,MATCH(F44,Parts!$A$6:$A$45,0))+0,Settings!$B$9)))</f>
        <v>7</v>
      </c>
      <c r="V44" s="22" t="n">
        <f aca="false">IF(B44="","",IF(INDEX($E$7:$E$336,ROW()-6+Settings!$B$7)&lt;&gt;"",INDEX($E$7:$E$336,ROW()-6+Settings!$B$7),E44+Settings!$B$7*D44/1440))</f>
        <v>46320.61875</v>
      </c>
      <c r="W44" s="22" t="n">
        <f aca="false">IF(B44="","",IF(INDEX($E$7:$E$336,ROW()-6+Settings!$B$7+Settings!$B$8)&lt;&gt;"",INDEX($E$7:$E$336,ROW()-6+Settings!$B$7+Settings!$B$8),E44+(Settings!$B$7+Settings!$B$8)*D44/1440)+U44/1440)</f>
        <v>46320.7069444444</v>
      </c>
      <c r="X44" s="18" t="str">
        <f aca="false">IF(B44="","",IF(INDEX($E$7:$E$336,ROW()-6+Settings!$B$7+Settings!$B$8)&lt;&gt;"","line","estimate"))</f>
        <v>estimate</v>
      </c>
      <c r="Y44" s="25" t="n">
        <f aca="false">IF(B44="","",INT(W44-Settings!$B$6))</f>
        <v>46320</v>
      </c>
      <c r="Z44" s="19"/>
      <c r="AA44" s="18" t="str">
        <f aca="false">IF(B44="","",IF(AND(B44&lt;&gt;"Empty",F44=""),"part missing; ","")&amp;IF(AND(F44&lt;&gt;"",J44=""),"pieces missing; ","")&amp;IF(AND(F44&lt;&gt;"",O44=""),"part not on the Parts sheet; ","")&amp;IF(AND(B44="Empty",OR(F44&lt;&gt;"",K44&lt;&gt;"")),"empty tray with parts; ","")&amp;IF(AND(B44="Loaded",K44&lt;&gt;""),"second part: type Mixed; ","")&amp;IF(AND(Q44&lt;&gt;"",N(Q44)&gt;1),"over 100 % of the spec load; ","")&amp;IF(N(R44)&gt;Settings!$B$10,"over the tray maximum (kg); ","")&amp;IF(AND(K44&lt;&gt;"",IFERROR(INDEX(Parts!$C$6:$C$45,MATCH(K44,Parts!$A$6:$A$45,0)),O44)&lt;&gt;O44),"different processes in one tray; ","")&amp;IF(AND(S44&lt;&gt;"",T44=""),"rework reason missing; ",""))</f>
        <v/>
      </c>
    </row>
    <row r="45" customFormat="false" ht="15" hidden="false" customHeight="false" outlineLevel="0" collapsed="false">
      <c r="A45" s="18" t="n">
        <f aca="false">IF(B45="","",COUNTA(B$7:B45))</f>
        <v>39</v>
      </c>
      <c r="B45" s="19" t="s">
        <v>95</v>
      </c>
      <c r="C45" s="20"/>
      <c r="D45" s="19" t="n">
        <f aca="false">IF(B45="","",IF(D44="",Report!$B$12,D44))</f>
        <v>10</v>
      </c>
      <c r="E45" s="22" t="n">
        <f aca="false">IF(B45="","",IF(C45&lt;&gt;"",C45,E44+D44/1440+SUMIFS(Holds!$F$7:$F$46,Holds!$B$7:$B$46,"&gt;="&amp;E44,Holds!$B$7:$B$46,"&lt;"&amp;E44+D44/1440)/1440))</f>
        <v>46320.5354166667</v>
      </c>
      <c r="F45" s="19" t="s">
        <v>109</v>
      </c>
      <c r="G45" s="19" t="s">
        <v>110</v>
      </c>
      <c r="H45" s="19" t="s">
        <v>111</v>
      </c>
      <c r="I45" s="19" t="s">
        <v>112</v>
      </c>
      <c r="J45" s="19" t="n">
        <v>24</v>
      </c>
      <c r="K45" s="19"/>
      <c r="L45" s="19"/>
      <c r="M45" s="19"/>
      <c r="N45" s="19"/>
      <c r="O45" s="18" t="str">
        <f aca="false">IF(F45="","",IFERROR(INDEX(Parts!$C$6:$C$45,MATCH(F45,Parts!$A$6:$A$45,0)),""))</f>
        <v>IA</v>
      </c>
      <c r="P45" s="18" t="n">
        <f aca="false">IF(F45="","",IFERROR(INDEX(Parts!$E$6:$E$45,MATCH(F45,Parts!$A$6:$A$45,0)),""))</f>
        <v>24</v>
      </c>
      <c r="Q45" s="23" t="n">
        <f aca="false">IF(OR(J45="",P45="",P45=0),"",J45/P45+IF(OR(N45="",K45=""),0,IFERROR(N45/INDEX(Parts!$E$6:$E$45,MATCH(K45,Parts!$A$6:$A$45,0)),0)))</f>
        <v>1</v>
      </c>
      <c r="R45" s="24" t="n">
        <f aca="false">IF(B45="","",IF(J45="",0,J45*IFERROR(INDEX(Parts!$F$6:$F$45,MATCH(F45,Parts!$A$6:$A$45,0)),0))+IF(N45="",0,N45*IFERROR(INDEX(Parts!$F$6:$F$45,MATCH(K45,Parts!$A$6:$A$45,0)),0)))</f>
        <v>84</v>
      </c>
      <c r="S45" s="19"/>
      <c r="T45" s="19"/>
      <c r="U45" s="18" t="n">
        <f aca="false">IF(B45="","",IF(F45="",Settings!$B$9,IFERROR(INDEX(Parts!$H$6:$H$45,MATCH(F45,Parts!$A$6:$A$45,0))+0,Settings!$B$9)))</f>
        <v>7</v>
      </c>
      <c r="V45" s="22" t="n">
        <f aca="false">IF(B45="","",IF(INDEX($E$7:$E$336,ROW()-6+Settings!$B$7)&lt;&gt;"",INDEX($E$7:$E$336,ROW()-6+Settings!$B$7),E45+Settings!$B$7*D45/1440))</f>
        <v>46320.6256944445</v>
      </c>
      <c r="W45" s="22" t="n">
        <f aca="false">IF(B45="","",IF(INDEX($E$7:$E$336,ROW()-6+Settings!$B$7+Settings!$B$8)&lt;&gt;"",INDEX($E$7:$E$336,ROW()-6+Settings!$B$7+Settings!$B$8),E45+(Settings!$B$7+Settings!$B$8)*D45/1440)+U45/1440)</f>
        <v>46320.7138888889</v>
      </c>
      <c r="X45" s="18" t="str">
        <f aca="false">IF(B45="","",IF(INDEX($E$7:$E$336,ROW()-6+Settings!$B$7+Settings!$B$8)&lt;&gt;"","line","estimate"))</f>
        <v>estimate</v>
      </c>
      <c r="Y45" s="25" t="n">
        <f aca="false">IF(B45="","",INT(W45-Settings!$B$6))</f>
        <v>46320</v>
      </c>
      <c r="Z45" s="19"/>
      <c r="AA45" s="18" t="str">
        <f aca="false">IF(B45="","",IF(AND(B45&lt;&gt;"Empty",F45=""),"part missing; ","")&amp;IF(AND(F45&lt;&gt;"",J45=""),"pieces missing; ","")&amp;IF(AND(F45&lt;&gt;"",O45=""),"part not on the Parts sheet; ","")&amp;IF(AND(B45="Empty",OR(F45&lt;&gt;"",K45&lt;&gt;"")),"empty tray with parts; ","")&amp;IF(AND(B45="Loaded",K45&lt;&gt;""),"second part: type Mixed; ","")&amp;IF(AND(Q45&lt;&gt;"",N(Q45)&gt;1),"over 100 % of the spec load; ","")&amp;IF(N(R45)&gt;Settings!$B$10,"over the tray maximum (kg); ","")&amp;IF(AND(K45&lt;&gt;"",IFERROR(INDEX(Parts!$C$6:$C$45,MATCH(K45,Parts!$A$6:$A$45,0)),O45)&lt;&gt;O45),"different processes in one tray; ","")&amp;IF(AND(S45&lt;&gt;"",T45=""),"rework reason missing; ",""))</f>
        <v/>
      </c>
    </row>
    <row r="46" customFormat="false" ht="15" hidden="false" customHeight="false" outlineLevel="0" collapsed="false">
      <c r="A46" s="18" t="n">
        <f aca="false">IF(B46="","",COUNTA(B$7:B46))</f>
        <v>40</v>
      </c>
      <c r="B46" s="19" t="s">
        <v>95</v>
      </c>
      <c r="C46" s="20"/>
      <c r="D46" s="19" t="n">
        <f aca="false">IF(B46="","",IF(D45="",Report!$B$12,D45))</f>
        <v>10</v>
      </c>
      <c r="E46" s="22" t="n">
        <f aca="false">IF(B46="","",IF(C46&lt;&gt;"",C46,E45+D45/1440+SUMIFS(Holds!$F$7:$F$46,Holds!$B$7:$B$46,"&gt;="&amp;E45,Holds!$B$7:$B$46,"&lt;"&amp;E45+D45/1440)/1440))</f>
        <v>46320.5423611111</v>
      </c>
      <c r="F46" s="19" t="s">
        <v>109</v>
      </c>
      <c r="G46" s="19" t="s">
        <v>110</v>
      </c>
      <c r="H46" s="19" t="s">
        <v>111</v>
      </c>
      <c r="I46" s="19" t="s">
        <v>112</v>
      </c>
      <c r="J46" s="19" t="n">
        <v>24</v>
      </c>
      <c r="K46" s="19"/>
      <c r="L46" s="19"/>
      <c r="M46" s="19"/>
      <c r="N46" s="19"/>
      <c r="O46" s="18" t="str">
        <f aca="false">IF(F46="","",IFERROR(INDEX(Parts!$C$6:$C$45,MATCH(F46,Parts!$A$6:$A$45,0)),""))</f>
        <v>IA</v>
      </c>
      <c r="P46" s="18" t="n">
        <f aca="false">IF(F46="","",IFERROR(INDEX(Parts!$E$6:$E$45,MATCH(F46,Parts!$A$6:$A$45,0)),""))</f>
        <v>24</v>
      </c>
      <c r="Q46" s="23" t="n">
        <f aca="false">IF(OR(J46="",P46="",P46=0),"",J46/P46+IF(OR(N46="",K46=""),0,IFERROR(N46/INDEX(Parts!$E$6:$E$45,MATCH(K46,Parts!$A$6:$A$45,0)),0)))</f>
        <v>1</v>
      </c>
      <c r="R46" s="24" t="n">
        <f aca="false">IF(B46="","",IF(J46="",0,J46*IFERROR(INDEX(Parts!$F$6:$F$45,MATCH(F46,Parts!$A$6:$A$45,0)),0))+IF(N46="",0,N46*IFERROR(INDEX(Parts!$F$6:$F$45,MATCH(K46,Parts!$A$6:$A$45,0)),0)))</f>
        <v>84</v>
      </c>
      <c r="S46" s="19"/>
      <c r="T46" s="19"/>
      <c r="U46" s="18" t="n">
        <f aca="false">IF(B46="","",IF(F46="",Settings!$B$9,IFERROR(INDEX(Parts!$H$6:$H$45,MATCH(F46,Parts!$A$6:$A$45,0))+0,Settings!$B$9)))</f>
        <v>7</v>
      </c>
      <c r="V46" s="22" t="n">
        <f aca="false">IF(B46="","",IF(INDEX($E$7:$E$336,ROW()-6+Settings!$B$7)&lt;&gt;"",INDEX($E$7:$E$336,ROW()-6+Settings!$B$7),E46+Settings!$B$7*D46/1440))</f>
        <v>46320.6326388889</v>
      </c>
      <c r="W46" s="22" t="n">
        <f aca="false">IF(B46="","",IF(INDEX($E$7:$E$336,ROW()-6+Settings!$B$7+Settings!$B$8)&lt;&gt;"",INDEX($E$7:$E$336,ROW()-6+Settings!$B$7+Settings!$B$8),E46+(Settings!$B$7+Settings!$B$8)*D46/1440)+U46/1440)</f>
        <v>46320.7208333333</v>
      </c>
      <c r="X46" s="18" t="str">
        <f aca="false">IF(B46="","",IF(INDEX($E$7:$E$336,ROW()-6+Settings!$B$7+Settings!$B$8)&lt;&gt;"","line","estimate"))</f>
        <v>estimate</v>
      </c>
      <c r="Y46" s="25" t="n">
        <f aca="false">IF(B46="","",INT(W46-Settings!$B$6))</f>
        <v>46320</v>
      </c>
      <c r="Z46" s="19"/>
      <c r="AA46" s="18" t="str">
        <f aca="false">IF(B46="","",IF(AND(B46&lt;&gt;"Empty",F46=""),"part missing; ","")&amp;IF(AND(F46&lt;&gt;"",J46=""),"pieces missing; ","")&amp;IF(AND(F46&lt;&gt;"",O46=""),"part not on the Parts sheet; ","")&amp;IF(AND(B46="Empty",OR(F46&lt;&gt;"",K46&lt;&gt;"")),"empty tray with parts; ","")&amp;IF(AND(B46="Loaded",K46&lt;&gt;""),"second part: type Mixed; ","")&amp;IF(AND(Q46&lt;&gt;"",N(Q46)&gt;1),"over 100 % of the spec load; ","")&amp;IF(N(R46)&gt;Settings!$B$10,"over the tray maximum (kg); ","")&amp;IF(AND(K46&lt;&gt;"",IFERROR(INDEX(Parts!$C$6:$C$45,MATCH(K46,Parts!$A$6:$A$45,0)),O46)&lt;&gt;O46),"different processes in one tray; ","")&amp;IF(AND(S46&lt;&gt;"",T46=""),"rework reason missing; ",""))</f>
        <v/>
      </c>
    </row>
    <row r="47" customFormat="false" ht="15" hidden="false" customHeight="false" outlineLevel="0" collapsed="false">
      <c r="A47" s="18" t="n">
        <f aca="false">IF(B47="","",COUNTA(B$7:B47))</f>
        <v>41</v>
      </c>
      <c r="B47" s="19" t="s">
        <v>95</v>
      </c>
      <c r="C47" s="20"/>
      <c r="D47" s="19" t="n">
        <f aca="false">IF(B47="","",IF(D46="",Report!$B$12,D46))</f>
        <v>10</v>
      </c>
      <c r="E47" s="22" t="n">
        <f aca="false">IF(B47="","",IF(C47&lt;&gt;"",C47,E46+D46/1440+SUMIFS(Holds!$F$7:$F$46,Holds!$B$7:$B$46,"&gt;="&amp;E46,Holds!$B$7:$B$46,"&lt;"&amp;E46+D46/1440)/1440))</f>
        <v>46320.5493055556</v>
      </c>
      <c r="F47" s="19" t="s">
        <v>109</v>
      </c>
      <c r="G47" s="19" t="s">
        <v>110</v>
      </c>
      <c r="H47" s="19" t="s">
        <v>111</v>
      </c>
      <c r="I47" s="19" t="s">
        <v>112</v>
      </c>
      <c r="J47" s="19" t="n">
        <v>24</v>
      </c>
      <c r="K47" s="19"/>
      <c r="L47" s="19"/>
      <c r="M47" s="19"/>
      <c r="N47" s="19"/>
      <c r="O47" s="18" t="str">
        <f aca="false">IF(F47="","",IFERROR(INDEX(Parts!$C$6:$C$45,MATCH(F47,Parts!$A$6:$A$45,0)),""))</f>
        <v>IA</v>
      </c>
      <c r="P47" s="18" t="n">
        <f aca="false">IF(F47="","",IFERROR(INDEX(Parts!$E$6:$E$45,MATCH(F47,Parts!$A$6:$A$45,0)),""))</f>
        <v>24</v>
      </c>
      <c r="Q47" s="23" t="n">
        <f aca="false">IF(OR(J47="",P47="",P47=0),"",J47/P47+IF(OR(N47="",K47=""),0,IFERROR(N47/INDEX(Parts!$E$6:$E$45,MATCH(K47,Parts!$A$6:$A$45,0)),0)))</f>
        <v>1</v>
      </c>
      <c r="R47" s="24" t="n">
        <f aca="false">IF(B47="","",IF(J47="",0,J47*IFERROR(INDEX(Parts!$F$6:$F$45,MATCH(F47,Parts!$A$6:$A$45,0)),0))+IF(N47="",0,N47*IFERROR(INDEX(Parts!$F$6:$F$45,MATCH(K47,Parts!$A$6:$A$45,0)),0)))</f>
        <v>84</v>
      </c>
      <c r="S47" s="19"/>
      <c r="T47" s="19"/>
      <c r="U47" s="18" t="n">
        <f aca="false">IF(B47="","",IF(F47="",Settings!$B$9,IFERROR(INDEX(Parts!$H$6:$H$45,MATCH(F47,Parts!$A$6:$A$45,0))+0,Settings!$B$9)))</f>
        <v>7</v>
      </c>
      <c r="V47" s="22" t="n">
        <f aca="false">IF(B47="","",IF(INDEX($E$7:$E$336,ROW()-6+Settings!$B$7)&lt;&gt;"",INDEX($E$7:$E$336,ROW()-6+Settings!$B$7),E47+Settings!$B$7*D47/1440))</f>
        <v>46320.6395833333</v>
      </c>
      <c r="W47" s="22" t="n">
        <f aca="false">IF(B47="","",IF(INDEX($E$7:$E$336,ROW()-6+Settings!$B$7+Settings!$B$8)&lt;&gt;"",INDEX($E$7:$E$336,ROW()-6+Settings!$B$7+Settings!$B$8),E47+(Settings!$B$7+Settings!$B$8)*D47/1440)+U47/1440)</f>
        <v>46320.7277777778</v>
      </c>
      <c r="X47" s="18" t="str">
        <f aca="false">IF(B47="","",IF(INDEX($E$7:$E$336,ROW()-6+Settings!$B$7+Settings!$B$8)&lt;&gt;"","line","estimate"))</f>
        <v>estimate</v>
      </c>
      <c r="Y47" s="25" t="n">
        <f aca="false">IF(B47="","",INT(W47-Settings!$B$6))</f>
        <v>46320</v>
      </c>
      <c r="Z47" s="19"/>
      <c r="AA47" s="18" t="str">
        <f aca="false">IF(B47="","",IF(AND(B47&lt;&gt;"Empty",F47=""),"part missing; ","")&amp;IF(AND(F47&lt;&gt;"",J47=""),"pieces missing; ","")&amp;IF(AND(F47&lt;&gt;"",O47=""),"part not on the Parts sheet; ","")&amp;IF(AND(B47="Empty",OR(F47&lt;&gt;"",K47&lt;&gt;"")),"empty tray with parts; ","")&amp;IF(AND(B47="Loaded",K47&lt;&gt;""),"second part: type Mixed; ","")&amp;IF(AND(Q47&lt;&gt;"",N(Q47)&gt;1),"over 100 % of the spec load; ","")&amp;IF(N(R47)&gt;Settings!$B$10,"over the tray maximum (kg); ","")&amp;IF(AND(K47&lt;&gt;"",IFERROR(INDEX(Parts!$C$6:$C$45,MATCH(K47,Parts!$A$6:$A$45,0)),O47)&lt;&gt;O47),"different processes in one tray; ","")&amp;IF(AND(S47&lt;&gt;"",T47=""),"rework reason missing; ",""))</f>
        <v/>
      </c>
    </row>
    <row r="48" customFormat="false" ht="15" hidden="false" customHeight="false" outlineLevel="0" collapsed="false">
      <c r="A48" s="18" t="n">
        <f aca="false">IF(B48="","",COUNTA(B$7:B48))</f>
        <v>42</v>
      </c>
      <c r="B48" s="19" t="s">
        <v>95</v>
      </c>
      <c r="C48" s="20"/>
      <c r="D48" s="19" t="n">
        <f aca="false">IF(B48="","",IF(D47="",Report!$B$12,D47))</f>
        <v>10</v>
      </c>
      <c r="E48" s="22" t="n">
        <f aca="false">IF(B48="","",IF(C48&lt;&gt;"",C48,E47+D47/1440+SUMIFS(Holds!$F$7:$F$46,Holds!$B$7:$B$46,"&gt;="&amp;E47,Holds!$B$7:$B$46,"&lt;"&amp;E47+D47/1440)/1440))</f>
        <v>46320.55625</v>
      </c>
      <c r="F48" s="19" t="s">
        <v>96</v>
      </c>
      <c r="G48" s="19" t="s">
        <v>113</v>
      </c>
      <c r="H48" s="19" t="s">
        <v>98</v>
      </c>
      <c r="I48" s="19" t="s">
        <v>99</v>
      </c>
      <c r="J48" s="19" t="n">
        <v>60</v>
      </c>
      <c r="K48" s="19"/>
      <c r="L48" s="19"/>
      <c r="M48" s="19"/>
      <c r="N48" s="19"/>
      <c r="O48" s="18" t="str">
        <f aca="false">IF(F48="","",IFERROR(INDEX(Parts!$C$6:$C$45,MATCH(F48,Parts!$A$6:$A$45,0)),""))</f>
        <v>HT</v>
      </c>
      <c r="P48" s="18" t="n">
        <f aca="false">IF(F48="","",IFERROR(INDEX(Parts!$E$6:$E$45,MATCH(F48,Parts!$A$6:$A$45,0)),""))</f>
        <v>60</v>
      </c>
      <c r="Q48" s="23" t="n">
        <f aca="false">IF(OR(J48="",P48="",P48=0),"",J48/P48+IF(OR(N48="",K48=""),0,IFERROR(N48/INDEX(Parts!$E$6:$E$45,MATCH(K48,Parts!$A$6:$A$45,0)),0)))</f>
        <v>1</v>
      </c>
      <c r="R48" s="24" t="n">
        <f aca="false">IF(B48="","",IF(J48="",0,J48*IFERROR(INDEX(Parts!$F$6:$F$45,MATCH(F48,Parts!$A$6:$A$45,0)),0))+IF(N48="",0,N48*IFERROR(INDEX(Parts!$F$6:$F$45,MATCH(K48,Parts!$A$6:$A$45,0)),0)))</f>
        <v>108</v>
      </c>
      <c r="S48" s="19" t="s">
        <v>114</v>
      </c>
      <c r="T48" s="19" t="s">
        <v>115</v>
      </c>
      <c r="U48" s="18" t="n">
        <f aca="false">IF(B48="","",IF(F48="",Settings!$B$9,IFERROR(INDEX(Parts!$H$6:$H$45,MATCH(F48,Parts!$A$6:$A$45,0))+0,Settings!$B$9)))</f>
        <v>18</v>
      </c>
      <c r="V48" s="22" t="n">
        <f aca="false">IF(B48="","",IF(INDEX($E$7:$E$336,ROW()-6+Settings!$B$7)&lt;&gt;"",INDEX($E$7:$E$336,ROW()-6+Settings!$B$7),E48+Settings!$B$7*D48/1440))</f>
        <v>46320.6465277778</v>
      </c>
      <c r="W48" s="22" t="n">
        <f aca="false">IF(B48="","",IF(INDEX($E$7:$E$336,ROW()-6+Settings!$B$7+Settings!$B$8)&lt;&gt;"",INDEX($E$7:$E$336,ROW()-6+Settings!$B$7+Settings!$B$8),E48+(Settings!$B$7+Settings!$B$8)*D48/1440)+U48/1440)</f>
        <v>46320.7423611111</v>
      </c>
      <c r="X48" s="18" t="str">
        <f aca="false">IF(B48="","",IF(INDEX($E$7:$E$336,ROW()-6+Settings!$B$7+Settings!$B$8)&lt;&gt;"","line","estimate"))</f>
        <v>estimate</v>
      </c>
      <c r="Y48" s="25" t="n">
        <f aca="false">IF(B48="","",INT(W48-Settings!$B$6))</f>
        <v>46320</v>
      </c>
      <c r="Z48" s="19"/>
      <c r="AA48" s="18" t="str">
        <f aca="false">IF(B48="","",IF(AND(B48&lt;&gt;"Empty",F48=""),"part missing; ","")&amp;IF(AND(F48&lt;&gt;"",J48=""),"pieces missing; ","")&amp;IF(AND(F48&lt;&gt;"",O48=""),"part not on the Parts sheet; ","")&amp;IF(AND(B48="Empty",OR(F48&lt;&gt;"",K48&lt;&gt;"")),"empty tray with parts; ","")&amp;IF(AND(B48="Loaded",K48&lt;&gt;""),"second part: type Mixed; ","")&amp;IF(AND(Q48&lt;&gt;"",N(Q48)&gt;1),"over 100 % of the spec load; ","")&amp;IF(N(R48)&gt;Settings!$B$10,"over the tray maximum (kg); ","")&amp;IF(AND(K48&lt;&gt;"",IFERROR(INDEX(Parts!$C$6:$C$45,MATCH(K48,Parts!$A$6:$A$45,0)),O48)&lt;&gt;O48),"different processes in one tray; ","")&amp;IF(AND(S48&lt;&gt;"",T48=""),"rework reason missing; ",""))</f>
        <v/>
      </c>
    </row>
    <row r="49" customFormat="false" ht="15" hidden="false" customHeight="false" outlineLevel="0" collapsed="false">
      <c r="A49" s="18" t="n">
        <f aca="false">IF(B49="","",COUNTA(B$7:B49))</f>
        <v>43</v>
      </c>
      <c r="B49" s="19" t="s">
        <v>95</v>
      </c>
      <c r="C49" s="20"/>
      <c r="D49" s="19" t="n">
        <f aca="false">IF(B49="","",IF(D48="",Report!$B$12,D48))</f>
        <v>10</v>
      </c>
      <c r="E49" s="22" t="n">
        <f aca="false">IF(B49="","",IF(C49&lt;&gt;"",C49,E48+D48/1440+SUMIFS(Holds!$F$7:$F$46,Holds!$B$7:$B$46,"&gt;="&amp;E48,Holds!$B$7:$B$46,"&lt;"&amp;E48+D48/1440)/1440))</f>
        <v>46320.5631944445</v>
      </c>
      <c r="F49" s="19" t="s">
        <v>96</v>
      </c>
      <c r="G49" s="19" t="s">
        <v>113</v>
      </c>
      <c r="H49" s="19" t="s">
        <v>98</v>
      </c>
      <c r="I49" s="19" t="s">
        <v>99</v>
      </c>
      <c r="J49" s="19" t="n">
        <v>60</v>
      </c>
      <c r="K49" s="19"/>
      <c r="L49" s="19"/>
      <c r="M49" s="19"/>
      <c r="N49" s="19"/>
      <c r="O49" s="18" t="str">
        <f aca="false">IF(F49="","",IFERROR(INDEX(Parts!$C$6:$C$45,MATCH(F49,Parts!$A$6:$A$45,0)),""))</f>
        <v>HT</v>
      </c>
      <c r="P49" s="18" t="n">
        <f aca="false">IF(F49="","",IFERROR(INDEX(Parts!$E$6:$E$45,MATCH(F49,Parts!$A$6:$A$45,0)),""))</f>
        <v>60</v>
      </c>
      <c r="Q49" s="23" t="n">
        <f aca="false">IF(OR(J49="",P49="",P49=0),"",J49/P49+IF(OR(N49="",K49=""),0,IFERROR(N49/INDEX(Parts!$E$6:$E$45,MATCH(K49,Parts!$A$6:$A$45,0)),0)))</f>
        <v>1</v>
      </c>
      <c r="R49" s="24" t="n">
        <f aca="false">IF(B49="","",IF(J49="",0,J49*IFERROR(INDEX(Parts!$F$6:$F$45,MATCH(F49,Parts!$A$6:$A$45,0)),0))+IF(N49="",0,N49*IFERROR(INDEX(Parts!$F$6:$F$45,MATCH(K49,Parts!$A$6:$A$45,0)),0)))</f>
        <v>108</v>
      </c>
      <c r="S49" s="19" t="s">
        <v>114</v>
      </c>
      <c r="T49" s="19" t="s">
        <v>115</v>
      </c>
      <c r="U49" s="18" t="n">
        <f aca="false">IF(B49="","",IF(F49="",Settings!$B$9,IFERROR(INDEX(Parts!$H$6:$H$45,MATCH(F49,Parts!$A$6:$A$45,0))+0,Settings!$B$9)))</f>
        <v>18</v>
      </c>
      <c r="V49" s="22" t="n">
        <f aca="false">IF(B49="","",IF(INDEX($E$7:$E$336,ROW()-6+Settings!$B$7)&lt;&gt;"",INDEX($E$7:$E$336,ROW()-6+Settings!$B$7),E49+Settings!$B$7*D49/1440))</f>
        <v>46320.6534722222</v>
      </c>
      <c r="W49" s="22" t="n">
        <f aca="false">IF(B49="","",IF(INDEX($E$7:$E$336,ROW()-6+Settings!$B$7+Settings!$B$8)&lt;&gt;"",INDEX($E$7:$E$336,ROW()-6+Settings!$B$7+Settings!$B$8),E49+(Settings!$B$7+Settings!$B$8)*D49/1440)+U49/1440)</f>
        <v>46320.7493055556</v>
      </c>
      <c r="X49" s="18" t="str">
        <f aca="false">IF(B49="","",IF(INDEX($E$7:$E$336,ROW()-6+Settings!$B$7+Settings!$B$8)&lt;&gt;"","line","estimate"))</f>
        <v>estimate</v>
      </c>
      <c r="Y49" s="25" t="n">
        <f aca="false">IF(B49="","",INT(W49-Settings!$B$6))</f>
        <v>46320</v>
      </c>
      <c r="Z49" s="19"/>
      <c r="AA49" s="18" t="str">
        <f aca="false">IF(B49="","",IF(AND(B49&lt;&gt;"Empty",F49=""),"part missing; ","")&amp;IF(AND(F49&lt;&gt;"",J49=""),"pieces missing; ","")&amp;IF(AND(F49&lt;&gt;"",O49=""),"part not on the Parts sheet; ","")&amp;IF(AND(B49="Empty",OR(F49&lt;&gt;"",K49&lt;&gt;"")),"empty tray with parts; ","")&amp;IF(AND(B49="Loaded",K49&lt;&gt;""),"second part: type Mixed; ","")&amp;IF(AND(Q49&lt;&gt;"",N(Q49)&gt;1),"over 100 % of the spec load; ","")&amp;IF(N(R49)&gt;Settings!$B$10,"over the tray maximum (kg); ","")&amp;IF(AND(K49&lt;&gt;"",IFERROR(INDEX(Parts!$C$6:$C$45,MATCH(K49,Parts!$A$6:$A$45,0)),O49)&lt;&gt;O49),"different processes in one tray; ","")&amp;IF(AND(S49&lt;&gt;"",T49=""),"rework reason missing; ",""))</f>
        <v/>
      </c>
    </row>
    <row r="50" customFormat="false" ht="15" hidden="false" customHeight="false" outlineLevel="0" collapsed="false">
      <c r="A50" s="18" t="n">
        <f aca="false">IF(B50="","",COUNTA(B$7:B50))</f>
        <v>44</v>
      </c>
      <c r="B50" s="19" t="s">
        <v>95</v>
      </c>
      <c r="C50" s="20"/>
      <c r="D50" s="19" t="n">
        <f aca="false">IF(B50="","",IF(D49="",Report!$B$12,D49))</f>
        <v>10</v>
      </c>
      <c r="E50" s="22" t="n">
        <f aca="false">IF(B50="","",IF(C50&lt;&gt;"",C50,E49+D49/1440+SUMIFS(Holds!$F$7:$F$46,Holds!$B$7:$B$46,"&gt;="&amp;E49,Holds!$B$7:$B$46,"&lt;"&amp;E49+D49/1440)/1440))</f>
        <v>46320.5701388889</v>
      </c>
      <c r="F50" s="19" t="s">
        <v>96</v>
      </c>
      <c r="G50" s="19" t="s">
        <v>113</v>
      </c>
      <c r="H50" s="19" t="s">
        <v>98</v>
      </c>
      <c r="I50" s="19" t="s">
        <v>99</v>
      </c>
      <c r="J50" s="19" t="n">
        <v>60</v>
      </c>
      <c r="K50" s="19"/>
      <c r="L50" s="19"/>
      <c r="M50" s="19"/>
      <c r="N50" s="19"/>
      <c r="O50" s="18" t="str">
        <f aca="false">IF(F50="","",IFERROR(INDEX(Parts!$C$6:$C$45,MATCH(F50,Parts!$A$6:$A$45,0)),""))</f>
        <v>HT</v>
      </c>
      <c r="P50" s="18" t="n">
        <f aca="false">IF(F50="","",IFERROR(INDEX(Parts!$E$6:$E$45,MATCH(F50,Parts!$A$6:$A$45,0)),""))</f>
        <v>60</v>
      </c>
      <c r="Q50" s="23" t="n">
        <f aca="false">IF(OR(J50="",P50="",P50=0),"",J50/P50+IF(OR(N50="",K50=""),0,IFERROR(N50/INDEX(Parts!$E$6:$E$45,MATCH(K50,Parts!$A$6:$A$45,0)),0)))</f>
        <v>1</v>
      </c>
      <c r="R50" s="24" t="n">
        <f aca="false">IF(B50="","",IF(J50="",0,J50*IFERROR(INDEX(Parts!$F$6:$F$45,MATCH(F50,Parts!$A$6:$A$45,0)),0))+IF(N50="",0,N50*IFERROR(INDEX(Parts!$F$6:$F$45,MATCH(K50,Parts!$A$6:$A$45,0)),0)))</f>
        <v>108</v>
      </c>
      <c r="S50" s="19" t="s">
        <v>114</v>
      </c>
      <c r="T50" s="19" t="s">
        <v>115</v>
      </c>
      <c r="U50" s="18" t="n">
        <f aca="false">IF(B50="","",IF(F50="",Settings!$B$9,IFERROR(INDEX(Parts!$H$6:$H$45,MATCH(F50,Parts!$A$6:$A$45,0))+0,Settings!$B$9)))</f>
        <v>18</v>
      </c>
      <c r="V50" s="22" t="n">
        <f aca="false">IF(B50="","",IF(INDEX($E$7:$E$336,ROW()-6+Settings!$B$7)&lt;&gt;"",INDEX($E$7:$E$336,ROW()-6+Settings!$B$7),E50+Settings!$B$7*D50/1440))</f>
        <v>46320.6604166667</v>
      </c>
      <c r="W50" s="22" t="n">
        <f aca="false">IF(B50="","",IF(INDEX($E$7:$E$336,ROW()-6+Settings!$B$7+Settings!$B$8)&lt;&gt;"",INDEX($E$7:$E$336,ROW()-6+Settings!$B$7+Settings!$B$8),E50+(Settings!$B$7+Settings!$B$8)*D50/1440)+U50/1440)</f>
        <v>46320.75625</v>
      </c>
      <c r="X50" s="18" t="str">
        <f aca="false">IF(B50="","",IF(INDEX($E$7:$E$336,ROW()-6+Settings!$B$7+Settings!$B$8)&lt;&gt;"","line","estimate"))</f>
        <v>estimate</v>
      </c>
      <c r="Y50" s="25" t="n">
        <f aca="false">IF(B50="","",INT(W50-Settings!$B$6))</f>
        <v>46320</v>
      </c>
      <c r="Z50" s="19"/>
      <c r="AA50" s="18" t="str">
        <f aca="false">IF(B50="","",IF(AND(B50&lt;&gt;"Empty",F50=""),"part missing; ","")&amp;IF(AND(F50&lt;&gt;"",J50=""),"pieces missing; ","")&amp;IF(AND(F50&lt;&gt;"",O50=""),"part not on the Parts sheet; ","")&amp;IF(AND(B50="Empty",OR(F50&lt;&gt;"",K50&lt;&gt;"")),"empty tray with parts; ","")&amp;IF(AND(B50="Loaded",K50&lt;&gt;""),"second part: type Mixed; ","")&amp;IF(AND(Q50&lt;&gt;"",N(Q50)&gt;1),"over 100 % of the spec load; ","")&amp;IF(N(R50)&gt;Settings!$B$10,"over the tray maximum (kg); ","")&amp;IF(AND(K50&lt;&gt;"",IFERROR(INDEX(Parts!$C$6:$C$45,MATCH(K50,Parts!$A$6:$A$45,0)),O50)&lt;&gt;O50),"different processes in one tray; ","")&amp;IF(AND(S50&lt;&gt;"",T50=""),"rework reason missing; ",""))</f>
        <v/>
      </c>
    </row>
    <row r="51" customFormat="false" ht="15" hidden="false" customHeight="false" outlineLevel="0" collapsed="false">
      <c r="A51" s="18" t="n">
        <f aca="false">IF(B51="","",COUNTA(B$7:B51))</f>
        <v>45</v>
      </c>
      <c r="B51" s="19" t="s">
        <v>95</v>
      </c>
      <c r="C51" s="20"/>
      <c r="D51" s="19" t="n">
        <f aca="false">IF(B51="","",IF(D50="",Report!$B$12,D50))</f>
        <v>10</v>
      </c>
      <c r="E51" s="22" t="n">
        <f aca="false">IF(B51="","",IF(C51&lt;&gt;"",C51,E50+D50/1440+SUMIFS(Holds!$F$7:$F$46,Holds!$B$7:$B$46,"&gt;="&amp;E50,Holds!$B$7:$B$46,"&lt;"&amp;E50+D50/1440)/1440))</f>
        <v>46320.5770833333</v>
      </c>
      <c r="F51" s="19" t="s">
        <v>96</v>
      </c>
      <c r="G51" s="19" t="s">
        <v>113</v>
      </c>
      <c r="H51" s="19" t="s">
        <v>98</v>
      </c>
      <c r="I51" s="19" t="s">
        <v>99</v>
      </c>
      <c r="J51" s="19" t="n">
        <v>60</v>
      </c>
      <c r="K51" s="19"/>
      <c r="L51" s="19"/>
      <c r="M51" s="19"/>
      <c r="N51" s="19"/>
      <c r="O51" s="18" t="str">
        <f aca="false">IF(F51="","",IFERROR(INDEX(Parts!$C$6:$C$45,MATCH(F51,Parts!$A$6:$A$45,0)),""))</f>
        <v>HT</v>
      </c>
      <c r="P51" s="18" t="n">
        <f aca="false">IF(F51="","",IFERROR(INDEX(Parts!$E$6:$E$45,MATCH(F51,Parts!$A$6:$A$45,0)),""))</f>
        <v>60</v>
      </c>
      <c r="Q51" s="23" t="n">
        <f aca="false">IF(OR(J51="",P51="",P51=0),"",J51/P51+IF(OR(N51="",K51=""),0,IFERROR(N51/INDEX(Parts!$E$6:$E$45,MATCH(K51,Parts!$A$6:$A$45,0)),0)))</f>
        <v>1</v>
      </c>
      <c r="R51" s="24" t="n">
        <f aca="false">IF(B51="","",IF(J51="",0,J51*IFERROR(INDEX(Parts!$F$6:$F$45,MATCH(F51,Parts!$A$6:$A$45,0)),0))+IF(N51="",0,N51*IFERROR(INDEX(Parts!$F$6:$F$45,MATCH(K51,Parts!$A$6:$A$45,0)),0)))</f>
        <v>108</v>
      </c>
      <c r="S51" s="19" t="s">
        <v>114</v>
      </c>
      <c r="T51" s="19" t="s">
        <v>115</v>
      </c>
      <c r="U51" s="18" t="n">
        <f aca="false">IF(B51="","",IF(F51="",Settings!$B$9,IFERROR(INDEX(Parts!$H$6:$H$45,MATCH(F51,Parts!$A$6:$A$45,0))+0,Settings!$B$9)))</f>
        <v>18</v>
      </c>
      <c r="V51" s="22" t="n">
        <f aca="false">IF(B51="","",IF(INDEX($E$7:$E$336,ROW()-6+Settings!$B$7)&lt;&gt;"",INDEX($E$7:$E$336,ROW()-6+Settings!$B$7),E51+Settings!$B$7*D51/1440))</f>
        <v>46320.6673611111</v>
      </c>
      <c r="W51" s="22" t="n">
        <f aca="false">IF(B51="","",IF(INDEX($E$7:$E$336,ROW()-6+Settings!$B$7+Settings!$B$8)&lt;&gt;"",INDEX($E$7:$E$336,ROW()-6+Settings!$B$7+Settings!$B$8),E51+(Settings!$B$7+Settings!$B$8)*D51/1440)+U51/1440)</f>
        <v>46320.7631944444</v>
      </c>
      <c r="X51" s="18" t="str">
        <f aca="false">IF(B51="","",IF(INDEX($E$7:$E$336,ROW()-6+Settings!$B$7+Settings!$B$8)&lt;&gt;"","line","estimate"))</f>
        <v>estimate</v>
      </c>
      <c r="Y51" s="25" t="n">
        <f aca="false">IF(B51="","",INT(W51-Settings!$B$6))</f>
        <v>46320</v>
      </c>
      <c r="Z51" s="19"/>
      <c r="AA51" s="18" t="str">
        <f aca="false">IF(B51="","",IF(AND(B51&lt;&gt;"Empty",F51=""),"part missing; ","")&amp;IF(AND(F51&lt;&gt;"",J51=""),"pieces missing; ","")&amp;IF(AND(F51&lt;&gt;"",O51=""),"part not on the Parts sheet; ","")&amp;IF(AND(B51="Empty",OR(F51&lt;&gt;"",K51&lt;&gt;"")),"empty tray with parts; ","")&amp;IF(AND(B51="Loaded",K51&lt;&gt;""),"second part: type Mixed; ","")&amp;IF(AND(Q51&lt;&gt;"",N(Q51)&gt;1),"over 100 % of the spec load; ","")&amp;IF(N(R51)&gt;Settings!$B$10,"over the tray maximum (kg); ","")&amp;IF(AND(K51&lt;&gt;"",IFERROR(INDEX(Parts!$C$6:$C$45,MATCH(K51,Parts!$A$6:$A$45,0)),O51)&lt;&gt;O51),"different processes in one tray; ","")&amp;IF(AND(S51&lt;&gt;"",T51=""),"rework reason missing; ",""))</f>
        <v/>
      </c>
    </row>
    <row r="52" customFormat="false" ht="15" hidden="false" customHeight="false" outlineLevel="0" collapsed="false">
      <c r="A52" s="18" t="str">
        <f aca="false">IF(B52="","",COUNTA(B$7:B52))</f>
        <v/>
      </c>
      <c r="B52" s="19"/>
      <c r="C52" s="20"/>
      <c r="D52" s="19" t="str">
        <f aca="false">IF(B52="","",IF(D51="",Report!$B$12,D51))</f>
        <v/>
      </c>
      <c r="E52" s="22" t="str">
        <f aca="false">IF(B52="","",IF(C52&lt;&gt;"",C52,E51+D51/1440+SUMIFS(Holds!$F$7:$F$46,Holds!$B$7:$B$46,"&gt;="&amp;E51,Holds!$B$7:$B$46,"&lt;"&amp;E51+D51/1440)/1440))</f>
        <v/>
      </c>
      <c r="F52" s="19"/>
      <c r="G52" s="19"/>
      <c r="H52" s="19"/>
      <c r="I52" s="19"/>
      <c r="J52" s="19"/>
      <c r="K52" s="19"/>
      <c r="L52" s="19"/>
      <c r="M52" s="19"/>
      <c r="N52" s="19"/>
      <c r="O52" s="18" t="str">
        <f aca="false">IF(F52="","",IFERROR(INDEX(Parts!$C$6:$C$45,MATCH(F52,Parts!$A$6:$A$45,0)),""))</f>
        <v/>
      </c>
      <c r="P52" s="18" t="str">
        <f aca="false">IF(F52="","",IFERROR(INDEX(Parts!$E$6:$E$45,MATCH(F52,Parts!$A$6:$A$45,0)),""))</f>
        <v/>
      </c>
      <c r="Q52" s="23" t="str">
        <f aca="false">IF(OR(J52="",P52="",P52=0),"",J52/P52+IF(OR(N52="",K52=""),0,IFERROR(N52/INDEX(Parts!$E$6:$E$45,MATCH(K52,Parts!$A$6:$A$45,0)),0)))</f>
        <v/>
      </c>
      <c r="R52" s="24" t="str">
        <f aca="false">IF(B52="","",IF(J52="",0,J52*IFERROR(INDEX(Parts!$F$6:$F$45,MATCH(F52,Parts!$A$6:$A$45,0)),0))+IF(N52="",0,N52*IFERROR(INDEX(Parts!$F$6:$F$45,MATCH(K52,Parts!$A$6:$A$45,0)),0)))</f>
        <v/>
      </c>
      <c r="S52" s="19"/>
      <c r="T52" s="19"/>
      <c r="U52" s="18" t="str">
        <f aca="false">IF(B52="","",IF(F52="",Settings!$B$9,IFERROR(INDEX(Parts!$H$6:$H$45,MATCH(F52,Parts!$A$6:$A$45,0))+0,Settings!$B$9)))</f>
        <v/>
      </c>
      <c r="V52" s="22" t="str">
        <f aca="false">IF(B52="","",IF(INDEX($E$7:$E$336,ROW()-6+Settings!$B$7)&lt;&gt;"",INDEX($E$7:$E$336,ROW()-6+Settings!$B$7),E52+Settings!$B$7*D52/1440))</f>
        <v/>
      </c>
      <c r="W52" s="22" t="str">
        <f aca="false">IF(B52="","",IF(INDEX($E$7:$E$336,ROW()-6+Settings!$B$7+Settings!$B$8)&lt;&gt;"",INDEX($E$7:$E$336,ROW()-6+Settings!$B$7+Settings!$B$8),E52+(Settings!$B$7+Settings!$B$8)*D52/1440)+U52/1440)</f>
        <v/>
      </c>
      <c r="X52" s="18" t="str">
        <f aca="false">IF(B52="","",IF(INDEX($E$7:$E$336,ROW()-6+Settings!$B$7+Settings!$B$8)&lt;&gt;"","line","estimate"))</f>
        <v/>
      </c>
      <c r="Y52" s="25" t="str">
        <f aca="false">IF(B52="","",INT(W52-Settings!$B$6))</f>
        <v/>
      </c>
      <c r="Z52" s="19"/>
      <c r="AA52" s="18" t="str">
        <f aca="false">IF(B52="","",IF(AND(B52&lt;&gt;"Empty",F52=""),"part missing; ","")&amp;IF(AND(F52&lt;&gt;"",J52=""),"pieces missing; ","")&amp;IF(AND(F52&lt;&gt;"",O52=""),"part not on the Parts sheet; ","")&amp;IF(AND(B52="Empty",OR(F52&lt;&gt;"",K52&lt;&gt;"")),"empty tray with parts; ","")&amp;IF(AND(B52="Loaded",K52&lt;&gt;""),"second part: type Mixed; ","")&amp;IF(AND(Q52&lt;&gt;"",N(Q52)&gt;1),"over 100 % of the spec load; ","")&amp;IF(N(R52)&gt;Settings!$B$10,"over the tray maximum (kg); ","")&amp;IF(AND(K52&lt;&gt;"",IFERROR(INDEX(Parts!$C$6:$C$45,MATCH(K52,Parts!$A$6:$A$45,0)),O52)&lt;&gt;O52),"different processes in one tray; ","")&amp;IF(AND(S52&lt;&gt;"",T52=""),"rework reason missing; ",""))</f>
        <v/>
      </c>
    </row>
    <row r="53" customFormat="false" ht="15" hidden="false" customHeight="false" outlineLevel="0" collapsed="false">
      <c r="A53" s="18" t="str">
        <f aca="false">IF(B53="","",COUNTA(B$7:B53))</f>
        <v/>
      </c>
      <c r="B53" s="19"/>
      <c r="C53" s="20"/>
      <c r="D53" s="19" t="str">
        <f aca="false">IF(B53="","",IF(D52="",Report!$B$12,D52))</f>
        <v/>
      </c>
      <c r="E53" s="22" t="str">
        <f aca="false">IF(B53="","",IF(C53&lt;&gt;"",C53,E52+D52/1440+SUMIFS(Holds!$F$7:$F$46,Holds!$B$7:$B$46,"&gt;="&amp;E52,Holds!$B$7:$B$46,"&lt;"&amp;E52+D52/1440)/1440))</f>
        <v/>
      </c>
      <c r="F53" s="19"/>
      <c r="G53" s="19"/>
      <c r="H53" s="19"/>
      <c r="I53" s="19"/>
      <c r="J53" s="19"/>
      <c r="K53" s="19"/>
      <c r="L53" s="19"/>
      <c r="M53" s="19"/>
      <c r="N53" s="19"/>
      <c r="O53" s="18" t="str">
        <f aca="false">IF(F53="","",IFERROR(INDEX(Parts!$C$6:$C$45,MATCH(F53,Parts!$A$6:$A$45,0)),""))</f>
        <v/>
      </c>
      <c r="P53" s="18" t="str">
        <f aca="false">IF(F53="","",IFERROR(INDEX(Parts!$E$6:$E$45,MATCH(F53,Parts!$A$6:$A$45,0)),""))</f>
        <v/>
      </c>
      <c r="Q53" s="23" t="str">
        <f aca="false">IF(OR(J53="",P53="",P53=0),"",J53/P53+IF(OR(N53="",K53=""),0,IFERROR(N53/INDEX(Parts!$E$6:$E$45,MATCH(K53,Parts!$A$6:$A$45,0)),0)))</f>
        <v/>
      </c>
      <c r="R53" s="24" t="str">
        <f aca="false">IF(B53="","",IF(J53="",0,J53*IFERROR(INDEX(Parts!$F$6:$F$45,MATCH(F53,Parts!$A$6:$A$45,0)),0))+IF(N53="",0,N53*IFERROR(INDEX(Parts!$F$6:$F$45,MATCH(K53,Parts!$A$6:$A$45,0)),0)))</f>
        <v/>
      </c>
      <c r="S53" s="19"/>
      <c r="T53" s="19"/>
      <c r="U53" s="18" t="str">
        <f aca="false">IF(B53="","",IF(F53="",Settings!$B$9,IFERROR(INDEX(Parts!$H$6:$H$45,MATCH(F53,Parts!$A$6:$A$45,0))+0,Settings!$B$9)))</f>
        <v/>
      </c>
      <c r="V53" s="22" t="str">
        <f aca="false">IF(B53="","",IF(INDEX($E$7:$E$336,ROW()-6+Settings!$B$7)&lt;&gt;"",INDEX($E$7:$E$336,ROW()-6+Settings!$B$7),E53+Settings!$B$7*D53/1440))</f>
        <v/>
      </c>
      <c r="W53" s="22" t="str">
        <f aca="false">IF(B53="","",IF(INDEX($E$7:$E$336,ROW()-6+Settings!$B$7+Settings!$B$8)&lt;&gt;"",INDEX($E$7:$E$336,ROW()-6+Settings!$B$7+Settings!$B$8),E53+(Settings!$B$7+Settings!$B$8)*D53/1440)+U53/1440)</f>
        <v/>
      </c>
      <c r="X53" s="18" t="str">
        <f aca="false">IF(B53="","",IF(INDEX($E$7:$E$336,ROW()-6+Settings!$B$7+Settings!$B$8)&lt;&gt;"","line","estimate"))</f>
        <v/>
      </c>
      <c r="Y53" s="25" t="str">
        <f aca="false">IF(B53="","",INT(W53-Settings!$B$6))</f>
        <v/>
      </c>
      <c r="Z53" s="19"/>
      <c r="AA53" s="18" t="str">
        <f aca="false">IF(B53="","",IF(AND(B53&lt;&gt;"Empty",F53=""),"part missing; ","")&amp;IF(AND(F53&lt;&gt;"",J53=""),"pieces missing; ","")&amp;IF(AND(F53&lt;&gt;"",O53=""),"part not on the Parts sheet; ","")&amp;IF(AND(B53="Empty",OR(F53&lt;&gt;"",K53&lt;&gt;"")),"empty tray with parts; ","")&amp;IF(AND(B53="Loaded",K53&lt;&gt;""),"second part: type Mixed; ","")&amp;IF(AND(Q53&lt;&gt;"",N(Q53)&gt;1),"over 100 % of the spec load; ","")&amp;IF(N(R53)&gt;Settings!$B$10,"over the tray maximum (kg); ","")&amp;IF(AND(K53&lt;&gt;"",IFERROR(INDEX(Parts!$C$6:$C$45,MATCH(K53,Parts!$A$6:$A$45,0)),O53)&lt;&gt;O53),"different processes in one tray; ","")&amp;IF(AND(S53&lt;&gt;"",T53=""),"rework reason missing; ",""))</f>
        <v/>
      </c>
    </row>
    <row r="54" customFormat="false" ht="15" hidden="false" customHeight="false" outlineLevel="0" collapsed="false">
      <c r="A54" s="18" t="str">
        <f aca="false">IF(B54="","",COUNTA(B$7:B54))</f>
        <v/>
      </c>
      <c r="B54" s="19"/>
      <c r="C54" s="20"/>
      <c r="D54" s="19" t="str">
        <f aca="false">IF(B54="","",IF(D53="",Report!$B$12,D53))</f>
        <v/>
      </c>
      <c r="E54" s="22" t="str">
        <f aca="false">IF(B54="","",IF(C54&lt;&gt;"",C54,E53+D53/1440+SUMIFS(Holds!$F$7:$F$46,Holds!$B$7:$B$46,"&gt;="&amp;E53,Holds!$B$7:$B$46,"&lt;"&amp;E53+D53/1440)/1440))</f>
        <v/>
      </c>
      <c r="F54" s="19"/>
      <c r="G54" s="19"/>
      <c r="H54" s="19"/>
      <c r="I54" s="19"/>
      <c r="J54" s="19"/>
      <c r="K54" s="19"/>
      <c r="L54" s="19"/>
      <c r="M54" s="19"/>
      <c r="N54" s="19"/>
      <c r="O54" s="18" t="str">
        <f aca="false">IF(F54="","",IFERROR(INDEX(Parts!$C$6:$C$45,MATCH(F54,Parts!$A$6:$A$45,0)),""))</f>
        <v/>
      </c>
      <c r="P54" s="18" t="str">
        <f aca="false">IF(F54="","",IFERROR(INDEX(Parts!$E$6:$E$45,MATCH(F54,Parts!$A$6:$A$45,0)),""))</f>
        <v/>
      </c>
      <c r="Q54" s="23" t="str">
        <f aca="false">IF(OR(J54="",P54="",P54=0),"",J54/P54+IF(OR(N54="",K54=""),0,IFERROR(N54/INDEX(Parts!$E$6:$E$45,MATCH(K54,Parts!$A$6:$A$45,0)),0)))</f>
        <v/>
      </c>
      <c r="R54" s="24" t="str">
        <f aca="false">IF(B54="","",IF(J54="",0,J54*IFERROR(INDEX(Parts!$F$6:$F$45,MATCH(F54,Parts!$A$6:$A$45,0)),0))+IF(N54="",0,N54*IFERROR(INDEX(Parts!$F$6:$F$45,MATCH(K54,Parts!$A$6:$A$45,0)),0)))</f>
        <v/>
      </c>
      <c r="S54" s="19"/>
      <c r="T54" s="19"/>
      <c r="U54" s="18" t="str">
        <f aca="false">IF(B54="","",IF(F54="",Settings!$B$9,IFERROR(INDEX(Parts!$H$6:$H$45,MATCH(F54,Parts!$A$6:$A$45,0))+0,Settings!$B$9)))</f>
        <v/>
      </c>
      <c r="V54" s="22" t="str">
        <f aca="false">IF(B54="","",IF(INDEX($E$7:$E$336,ROW()-6+Settings!$B$7)&lt;&gt;"",INDEX($E$7:$E$336,ROW()-6+Settings!$B$7),E54+Settings!$B$7*D54/1440))</f>
        <v/>
      </c>
      <c r="W54" s="22" t="str">
        <f aca="false">IF(B54="","",IF(INDEX($E$7:$E$336,ROW()-6+Settings!$B$7+Settings!$B$8)&lt;&gt;"",INDEX($E$7:$E$336,ROW()-6+Settings!$B$7+Settings!$B$8),E54+(Settings!$B$7+Settings!$B$8)*D54/1440)+U54/1440)</f>
        <v/>
      </c>
      <c r="X54" s="18" t="str">
        <f aca="false">IF(B54="","",IF(INDEX($E$7:$E$336,ROW()-6+Settings!$B$7+Settings!$B$8)&lt;&gt;"","line","estimate"))</f>
        <v/>
      </c>
      <c r="Y54" s="25" t="str">
        <f aca="false">IF(B54="","",INT(W54-Settings!$B$6))</f>
        <v/>
      </c>
      <c r="Z54" s="19"/>
      <c r="AA54" s="18" t="str">
        <f aca="false">IF(B54="","",IF(AND(B54&lt;&gt;"Empty",F54=""),"part missing; ","")&amp;IF(AND(F54&lt;&gt;"",J54=""),"pieces missing; ","")&amp;IF(AND(F54&lt;&gt;"",O54=""),"part not on the Parts sheet; ","")&amp;IF(AND(B54="Empty",OR(F54&lt;&gt;"",K54&lt;&gt;"")),"empty tray with parts; ","")&amp;IF(AND(B54="Loaded",K54&lt;&gt;""),"second part: type Mixed; ","")&amp;IF(AND(Q54&lt;&gt;"",N(Q54)&gt;1),"over 100 % of the spec load; ","")&amp;IF(N(R54)&gt;Settings!$B$10,"over the tray maximum (kg); ","")&amp;IF(AND(K54&lt;&gt;"",IFERROR(INDEX(Parts!$C$6:$C$45,MATCH(K54,Parts!$A$6:$A$45,0)),O54)&lt;&gt;O54),"different processes in one tray; ","")&amp;IF(AND(S54&lt;&gt;"",T54=""),"rework reason missing; ",""))</f>
        <v/>
      </c>
    </row>
    <row r="55" customFormat="false" ht="15" hidden="false" customHeight="false" outlineLevel="0" collapsed="false">
      <c r="A55" s="18" t="str">
        <f aca="false">IF(B55="","",COUNTA(B$7:B55))</f>
        <v/>
      </c>
      <c r="B55" s="19"/>
      <c r="C55" s="20"/>
      <c r="D55" s="19" t="str">
        <f aca="false">IF(B55="","",IF(D54="",Report!$B$12,D54))</f>
        <v/>
      </c>
      <c r="E55" s="22" t="str">
        <f aca="false">IF(B55="","",IF(C55&lt;&gt;"",C55,E54+D54/1440+SUMIFS(Holds!$F$7:$F$46,Holds!$B$7:$B$46,"&gt;="&amp;E54,Holds!$B$7:$B$46,"&lt;"&amp;E54+D54/1440)/1440))</f>
        <v/>
      </c>
      <c r="F55" s="19"/>
      <c r="G55" s="19"/>
      <c r="H55" s="19"/>
      <c r="I55" s="19"/>
      <c r="J55" s="19"/>
      <c r="K55" s="19"/>
      <c r="L55" s="19"/>
      <c r="M55" s="19"/>
      <c r="N55" s="19"/>
      <c r="O55" s="18" t="str">
        <f aca="false">IF(F55="","",IFERROR(INDEX(Parts!$C$6:$C$45,MATCH(F55,Parts!$A$6:$A$45,0)),""))</f>
        <v/>
      </c>
      <c r="P55" s="18" t="str">
        <f aca="false">IF(F55="","",IFERROR(INDEX(Parts!$E$6:$E$45,MATCH(F55,Parts!$A$6:$A$45,0)),""))</f>
        <v/>
      </c>
      <c r="Q55" s="23" t="str">
        <f aca="false">IF(OR(J55="",P55="",P55=0),"",J55/P55+IF(OR(N55="",K55=""),0,IFERROR(N55/INDEX(Parts!$E$6:$E$45,MATCH(K55,Parts!$A$6:$A$45,0)),0)))</f>
        <v/>
      </c>
      <c r="R55" s="24" t="str">
        <f aca="false">IF(B55="","",IF(J55="",0,J55*IFERROR(INDEX(Parts!$F$6:$F$45,MATCH(F55,Parts!$A$6:$A$45,0)),0))+IF(N55="",0,N55*IFERROR(INDEX(Parts!$F$6:$F$45,MATCH(K55,Parts!$A$6:$A$45,0)),0)))</f>
        <v/>
      </c>
      <c r="S55" s="19"/>
      <c r="T55" s="19"/>
      <c r="U55" s="18" t="str">
        <f aca="false">IF(B55="","",IF(F55="",Settings!$B$9,IFERROR(INDEX(Parts!$H$6:$H$45,MATCH(F55,Parts!$A$6:$A$45,0))+0,Settings!$B$9)))</f>
        <v/>
      </c>
      <c r="V55" s="22" t="str">
        <f aca="false">IF(B55="","",IF(INDEX($E$7:$E$336,ROW()-6+Settings!$B$7)&lt;&gt;"",INDEX($E$7:$E$336,ROW()-6+Settings!$B$7),E55+Settings!$B$7*D55/1440))</f>
        <v/>
      </c>
      <c r="W55" s="22" t="str">
        <f aca="false">IF(B55="","",IF(INDEX($E$7:$E$336,ROW()-6+Settings!$B$7+Settings!$B$8)&lt;&gt;"",INDEX($E$7:$E$336,ROW()-6+Settings!$B$7+Settings!$B$8),E55+(Settings!$B$7+Settings!$B$8)*D55/1440)+U55/1440)</f>
        <v/>
      </c>
      <c r="X55" s="18" t="str">
        <f aca="false">IF(B55="","",IF(INDEX($E$7:$E$336,ROW()-6+Settings!$B$7+Settings!$B$8)&lt;&gt;"","line","estimate"))</f>
        <v/>
      </c>
      <c r="Y55" s="25" t="str">
        <f aca="false">IF(B55="","",INT(W55-Settings!$B$6))</f>
        <v/>
      </c>
      <c r="Z55" s="19"/>
      <c r="AA55" s="18" t="str">
        <f aca="false">IF(B55="","",IF(AND(B55&lt;&gt;"Empty",F55=""),"part missing; ","")&amp;IF(AND(F55&lt;&gt;"",J55=""),"pieces missing; ","")&amp;IF(AND(F55&lt;&gt;"",O55=""),"part not on the Parts sheet; ","")&amp;IF(AND(B55="Empty",OR(F55&lt;&gt;"",K55&lt;&gt;"")),"empty tray with parts; ","")&amp;IF(AND(B55="Loaded",K55&lt;&gt;""),"second part: type Mixed; ","")&amp;IF(AND(Q55&lt;&gt;"",N(Q55)&gt;1),"over 100 % of the spec load; ","")&amp;IF(N(R55)&gt;Settings!$B$10,"over the tray maximum (kg); ","")&amp;IF(AND(K55&lt;&gt;"",IFERROR(INDEX(Parts!$C$6:$C$45,MATCH(K55,Parts!$A$6:$A$45,0)),O55)&lt;&gt;O55),"different processes in one tray; ","")&amp;IF(AND(S55&lt;&gt;"",T55=""),"rework reason missing; ",""))</f>
        <v/>
      </c>
    </row>
    <row r="56" customFormat="false" ht="15" hidden="false" customHeight="false" outlineLevel="0" collapsed="false">
      <c r="A56" s="18" t="str">
        <f aca="false">IF(B56="","",COUNTA(B$7:B56))</f>
        <v/>
      </c>
      <c r="B56" s="19"/>
      <c r="C56" s="20"/>
      <c r="D56" s="19" t="str">
        <f aca="false">IF(B56="","",IF(D55="",Report!$B$12,D55))</f>
        <v/>
      </c>
      <c r="E56" s="22" t="str">
        <f aca="false">IF(B56="","",IF(C56&lt;&gt;"",C56,E55+D55/1440+SUMIFS(Holds!$F$7:$F$46,Holds!$B$7:$B$46,"&gt;="&amp;E55,Holds!$B$7:$B$46,"&lt;"&amp;E55+D55/1440)/1440))</f>
        <v/>
      </c>
      <c r="F56" s="19"/>
      <c r="G56" s="19"/>
      <c r="H56" s="19"/>
      <c r="I56" s="19"/>
      <c r="J56" s="19"/>
      <c r="K56" s="19"/>
      <c r="L56" s="19"/>
      <c r="M56" s="19"/>
      <c r="N56" s="19"/>
      <c r="O56" s="18" t="str">
        <f aca="false">IF(F56="","",IFERROR(INDEX(Parts!$C$6:$C$45,MATCH(F56,Parts!$A$6:$A$45,0)),""))</f>
        <v/>
      </c>
      <c r="P56" s="18" t="str">
        <f aca="false">IF(F56="","",IFERROR(INDEX(Parts!$E$6:$E$45,MATCH(F56,Parts!$A$6:$A$45,0)),""))</f>
        <v/>
      </c>
      <c r="Q56" s="23" t="str">
        <f aca="false">IF(OR(J56="",P56="",P56=0),"",J56/P56+IF(OR(N56="",K56=""),0,IFERROR(N56/INDEX(Parts!$E$6:$E$45,MATCH(K56,Parts!$A$6:$A$45,0)),0)))</f>
        <v/>
      </c>
      <c r="R56" s="24" t="str">
        <f aca="false">IF(B56="","",IF(J56="",0,J56*IFERROR(INDEX(Parts!$F$6:$F$45,MATCH(F56,Parts!$A$6:$A$45,0)),0))+IF(N56="",0,N56*IFERROR(INDEX(Parts!$F$6:$F$45,MATCH(K56,Parts!$A$6:$A$45,0)),0)))</f>
        <v/>
      </c>
      <c r="S56" s="19"/>
      <c r="T56" s="19"/>
      <c r="U56" s="18" t="str">
        <f aca="false">IF(B56="","",IF(F56="",Settings!$B$9,IFERROR(INDEX(Parts!$H$6:$H$45,MATCH(F56,Parts!$A$6:$A$45,0))+0,Settings!$B$9)))</f>
        <v/>
      </c>
      <c r="V56" s="22" t="str">
        <f aca="false">IF(B56="","",IF(INDEX($E$7:$E$336,ROW()-6+Settings!$B$7)&lt;&gt;"",INDEX($E$7:$E$336,ROW()-6+Settings!$B$7),E56+Settings!$B$7*D56/1440))</f>
        <v/>
      </c>
      <c r="W56" s="22" t="str">
        <f aca="false">IF(B56="","",IF(INDEX($E$7:$E$336,ROW()-6+Settings!$B$7+Settings!$B$8)&lt;&gt;"",INDEX($E$7:$E$336,ROW()-6+Settings!$B$7+Settings!$B$8),E56+(Settings!$B$7+Settings!$B$8)*D56/1440)+U56/1440)</f>
        <v/>
      </c>
      <c r="X56" s="18" t="str">
        <f aca="false">IF(B56="","",IF(INDEX($E$7:$E$336,ROW()-6+Settings!$B$7+Settings!$B$8)&lt;&gt;"","line","estimate"))</f>
        <v/>
      </c>
      <c r="Y56" s="25" t="str">
        <f aca="false">IF(B56="","",INT(W56-Settings!$B$6))</f>
        <v/>
      </c>
      <c r="Z56" s="19"/>
      <c r="AA56" s="18" t="str">
        <f aca="false">IF(B56="","",IF(AND(B56&lt;&gt;"Empty",F56=""),"part missing; ","")&amp;IF(AND(F56&lt;&gt;"",J56=""),"pieces missing; ","")&amp;IF(AND(F56&lt;&gt;"",O56=""),"part not on the Parts sheet; ","")&amp;IF(AND(B56="Empty",OR(F56&lt;&gt;"",K56&lt;&gt;"")),"empty tray with parts; ","")&amp;IF(AND(B56="Loaded",K56&lt;&gt;""),"second part: type Mixed; ","")&amp;IF(AND(Q56&lt;&gt;"",N(Q56)&gt;1),"over 100 % of the spec load; ","")&amp;IF(N(R56)&gt;Settings!$B$10,"over the tray maximum (kg); ","")&amp;IF(AND(K56&lt;&gt;"",IFERROR(INDEX(Parts!$C$6:$C$45,MATCH(K56,Parts!$A$6:$A$45,0)),O56)&lt;&gt;O56),"different processes in one tray; ","")&amp;IF(AND(S56&lt;&gt;"",T56=""),"rework reason missing; ",""))</f>
        <v/>
      </c>
    </row>
    <row r="57" customFormat="false" ht="15" hidden="false" customHeight="false" outlineLevel="0" collapsed="false">
      <c r="A57" s="18" t="str">
        <f aca="false">IF(B57="","",COUNTA(B$7:B57))</f>
        <v/>
      </c>
      <c r="B57" s="19"/>
      <c r="C57" s="20"/>
      <c r="D57" s="19" t="str">
        <f aca="false">IF(B57="","",IF(D56="",Report!$B$12,D56))</f>
        <v/>
      </c>
      <c r="E57" s="22" t="str">
        <f aca="false">IF(B57="","",IF(C57&lt;&gt;"",C57,E56+D56/1440+SUMIFS(Holds!$F$7:$F$46,Holds!$B$7:$B$46,"&gt;="&amp;E56,Holds!$B$7:$B$46,"&lt;"&amp;E56+D56/1440)/1440))</f>
        <v/>
      </c>
      <c r="F57" s="19"/>
      <c r="G57" s="19"/>
      <c r="H57" s="19"/>
      <c r="I57" s="19"/>
      <c r="J57" s="19"/>
      <c r="K57" s="19"/>
      <c r="L57" s="19"/>
      <c r="M57" s="19"/>
      <c r="N57" s="19"/>
      <c r="O57" s="18" t="str">
        <f aca="false">IF(F57="","",IFERROR(INDEX(Parts!$C$6:$C$45,MATCH(F57,Parts!$A$6:$A$45,0)),""))</f>
        <v/>
      </c>
      <c r="P57" s="18" t="str">
        <f aca="false">IF(F57="","",IFERROR(INDEX(Parts!$E$6:$E$45,MATCH(F57,Parts!$A$6:$A$45,0)),""))</f>
        <v/>
      </c>
      <c r="Q57" s="23" t="str">
        <f aca="false">IF(OR(J57="",P57="",P57=0),"",J57/P57+IF(OR(N57="",K57=""),0,IFERROR(N57/INDEX(Parts!$E$6:$E$45,MATCH(K57,Parts!$A$6:$A$45,0)),0)))</f>
        <v/>
      </c>
      <c r="R57" s="24" t="str">
        <f aca="false">IF(B57="","",IF(J57="",0,J57*IFERROR(INDEX(Parts!$F$6:$F$45,MATCH(F57,Parts!$A$6:$A$45,0)),0))+IF(N57="",0,N57*IFERROR(INDEX(Parts!$F$6:$F$45,MATCH(K57,Parts!$A$6:$A$45,0)),0)))</f>
        <v/>
      </c>
      <c r="S57" s="19"/>
      <c r="T57" s="19"/>
      <c r="U57" s="18" t="str">
        <f aca="false">IF(B57="","",IF(F57="",Settings!$B$9,IFERROR(INDEX(Parts!$H$6:$H$45,MATCH(F57,Parts!$A$6:$A$45,0))+0,Settings!$B$9)))</f>
        <v/>
      </c>
      <c r="V57" s="22" t="str">
        <f aca="false">IF(B57="","",IF(INDEX($E$7:$E$336,ROW()-6+Settings!$B$7)&lt;&gt;"",INDEX($E$7:$E$336,ROW()-6+Settings!$B$7),E57+Settings!$B$7*D57/1440))</f>
        <v/>
      </c>
      <c r="W57" s="22" t="str">
        <f aca="false">IF(B57="","",IF(INDEX($E$7:$E$336,ROW()-6+Settings!$B$7+Settings!$B$8)&lt;&gt;"",INDEX($E$7:$E$336,ROW()-6+Settings!$B$7+Settings!$B$8),E57+(Settings!$B$7+Settings!$B$8)*D57/1440)+U57/1440)</f>
        <v/>
      </c>
      <c r="X57" s="18" t="str">
        <f aca="false">IF(B57="","",IF(INDEX($E$7:$E$336,ROW()-6+Settings!$B$7+Settings!$B$8)&lt;&gt;"","line","estimate"))</f>
        <v/>
      </c>
      <c r="Y57" s="25" t="str">
        <f aca="false">IF(B57="","",INT(W57-Settings!$B$6))</f>
        <v/>
      </c>
      <c r="Z57" s="19"/>
      <c r="AA57" s="18" t="str">
        <f aca="false">IF(B57="","",IF(AND(B57&lt;&gt;"Empty",F57=""),"part missing; ","")&amp;IF(AND(F57&lt;&gt;"",J57=""),"pieces missing; ","")&amp;IF(AND(F57&lt;&gt;"",O57=""),"part not on the Parts sheet; ","")&amp;IF(AND(B57="Empty",OR(F57&lt;&gt;"",K57&lt;&gt;"")),"empty tray with parts; ","")&amp;IF(AND(B57="Loaded",K57&lt;&gt;""),"second part: type Mixed; ","")&amp;IF(AND(Q57&lt;&gt;"",N(Q57)&gt;1),"over 100 % of the spec load; ","")&amp;IF(N(R57)&gt;Settings!$B$10,"over the tray maximum (kg); ","")&amp;IF(AND(K57&lt;&gt;"",IFERROR(INDEX(Parts!$C$6:$C$45,MATCH(K57,Parts!$A$6:$A$45,0)),O57)&lt;&gt;O57),"different processes in one tray; ","")&amp;IF(AND(S57&lt;&gt;"",T57=""),"rework reason missing; ",""))</f>
        <v/>
      </c>
    </row>
    <row r="58" customFormat="false" ht="15" hidden="false" customHeight="false" outlineLevel="0" collapsed="false">
      <c r="A58" s="18" t="str">
        <f aca="false">IF(B58="","",COUNTA(B$7:B58))</f>
        <v/>
      </c>
      <c r="B58" s="19"/>
      <c r="C58" s="20"/>
      <c r="D58" s="19" t="str">
        <f aca="false">IF(B58="","",IF(D57="",Report!$B$12,D57))</f>
        <v/>
      </c>
      <c r="E58" s="22" t="str">
        <f aca="false">IF(B58="","",IF(C58&lt;&gt;"",C58,E57+D57/1440+SUMIFS(Holds!$F$7:$F$46,Holds!$B$7:$B$46,"&gt;="&amp;E57,Holds!$B$7:$B$46,"&lt;"&amp;E57+D57/1440)/1440))</f>
        <v/>
      </c>
      <c r="F58" s="19"/>
      <c r="G58" s="19"/>
      <c r="H58" s="19"/>
      <c r="I58" s="19"/>
      <c r="J58" s="19"/>
      <c r="K58" s="19"/>
      <c r="L58" s="19"/>
      <c r="M58" s="19"/>
      <c r="N58" s="19"/>
      <c r="O58" s="18" t="str">
        <f aca="false">IF(F58="","",IFERROR(INDEX(Parts!$C$6:$C$45,MATCH(F58,Parts!$A$6:$A$45,0)),""))</f>
        <v/>
      </c>
      <c r="P58" s="18" t="str">
        <f aca="false">IF(F58="","",IFERROR(INDEX(Parts!$E$6:$E$45,MATCH(F58,Parts!$A$6:$A$45,0)),""))</f>
        <v/>
      </c>
      <c r="Q58" s="23" t="str">
        <f aca="false">IF(OR(J58="",P58="",P58=0),"",J58/P58+IF(OR(N58="",K58=""),0,IFERROR(N58/INDEX(Parts!$E$6:$E$45,MATCH(K58,Parts!$A$6:$A$45,0)),0)))</f>
        <v/>
      </c>
      <c r="R58" s="24" t="str">
        <f aca="false">IF(B58="","",IF(J58="",0,J58*IFERROR(INDEX(Parts!$F$6:$F$45,MATCH(F58,Parts!$A$6:$A$45,0)),0))+IF(N58="",0,N58*IFERROR(INDEX(Parts!$F$6:$F$45,MATCH(K58,Parts!$A$6:$A$45,0)),0)))</f>
        <v/>
      </c>
      <c r="S58" s="19"/>
      <c r="T58" s="19"/>
      <c r="U58" s="18" t="str">
        <f aca="false">IF(B58="","",IF(F58="",Settings!$B$9,IFERROR(INDEX(Parts!$H$6:$H$45,MATCH(F58,Parts!$A$6:$A$45,0))+0,Settings!$B$9)))</f>
        <v/>
      </c>
      <c r="V58" s="22" t="str">
        <f aca="false">IF(B58="","",IF(INDEX($E$7:$E$336,ROW()-6+Settings!$B$7)&lt;&gt;"",INDEX($E$7:$E$336,ROW()-6+Settings!$B$7),E58+Settings!$B$7*D58/1440))</f>
        <v/>
      </c>
      <c r="W58" s="22" t="str">
        <f aca="false">IF(B58="","",IF(INDEX($E$7:$E$336,ROW()-6+Settings!$B$7+Settings!$B$8)&lt;&gt;"",INDEX($E$7:$E$336,ROW()-6+Settings!$B$7+Settings!$B$8),E58+(Settings!$B$7+Settings!$B$8)*D58/1440)+U58/1440)</f>
        <v/>
      </c>
      <c r="X58" s="18" t="str">
        <f aca="false">IF(B58="","",IF(INDEX($E$7:$E$336,ROW()-6+Settings!$B$7+Settings!$B$8)&lt;&gt;"","line","estimate"))</f>
        <v/>
      </c>
      <c r="Y58" s="25" t="str">
        <f aca="false">IF(B58="","",INT(W58-Settings!$B$6))</f>
        <v/>
      </c>
      <c r="Z58" s="19"/>
      <c r="AA58" s="18" t="str">
        <f aca="false">IF(B58="","",IF(AND(B58&lt;&gt;"Empty",F58=""),"part missing; ","")&amp;IF(AND(F58&lt;&gt;"",J58=""),"pieces missing; ","")&amp;IF(AND(F58&lt;&gt;"",O58=""),"part not on the Parts sheet; ","")&amp;IF(AND(B58="Empty",OR(F58&lt;&gt;"",K58&lt;&gt;"")),"empty tray with parts; ","")&amp;IF(AND(B58="Loaded",K58&lt;&gt;""),"second part: type Mixed; ","")&amp;IF(AND(Q58&lt;&gt;"",N(Q58)&gt;1),"over 100 % of the spec load; ","")&amp;IF(N(R58)&gt;Settings!$B$10,"over the tray maximum (kg); ","")&amp;IF(AND(K58&lt;&gt;"",IFERROR(INDEX(Parts!$C$6:$C$45,MATCH(K58,Parts!$A$6:$A$45,0)),O58)&lt;&gt;O58),"different processes in one tray; ","")&amp;IF(AND(S58&lt;&gt;"",T58=""),"rework reason missing; ",""))</f>
        <v/>
      </c>
    </row>
    <row r="59" customFormat="false" ht="15" hidden="false" customHeight="false" outlineLevel="0" collapsed="false">
      <c r="A59" s="18" t="str">
        <f aca="false">IF(B59="","",COUNTA(B$7:B59))</f>
        <v/>
      </c>
      <c r="B59" s="19"/>
      <c r="C59" s="20"/>
      <c r="D59" s="19" t="str">
        <f aca="false">IF(B59="","",IF(D58="",Report!$B$12,D58))</f>
        <v/>
      </c>
      <c r="E59" s="22" t="str">
        <f aca="false">IF(B59="","",IF(C59&lt;&gt;"",C59,E58+D58/1440+SUMIFS(Holds!$F$7:$F$46,Holds!$B$7:$B$46,"&gt;="&amp;E58,Holds!$B$7:$B$46,"&lt;"&amp;E58+D58/1440)/1440))</f>
        <v/>
      </c>
      <c r="F59" s="19"/>
      <c r="G59" s="19"/>
      <c r="H59" s="19"/>
      <c r="I59" s="19"/>
      <c r="J59" s="19"/>
      <c r="K59" s="19"/>
      <c r="L59" s="19"/>
      <c r="M59" s="19"/>
      <c r="N59" s="19"/>
      <c r="O59" s="18" t="str">
        <f aca="false">IF(F59="","",IFERROR(INDEX(Parts!$C$6:$C$45,MATCH(F59,Parts!$A$6:$A$45,0)),""))</f>
        <v/>
      </c>
      <c r="P59" s="18" t="str">
        <f aca="false">IF(F59="","",IFERROR(INDEX(Parts!$E$6:$E$45,MATCH(F59,Parts!$A$6:$A$45,0)),""))</f>
        <v/>
      </c>
      <c r="Q59" s="23" t="str">
        <f aca="false">IF(OR(J59="",P59="",P59=0),"",J59/P59+IF(OR(N59="",K59=""),0,IFERROR(N59/INDEX(Parts!$E$6:$E$45,MATCH(K59,Parts!$A$6:$A$45,0)),0)))</f>
        <v/>
      </c>
      <c r="R59" s="24" t="str">
        <f aca="false">IF(B59="","",IF(J59="",0,J59*IFERROR(INDEX(Parts!$F$6:$F$45,MATCH(F59,Parts!$A$6:$A$45,0)),0))+IF(N59="",0,N59*IFERROR(INDEX(Parts!$F$6:$F$45,MATCH(K59,Parts!$A$6:$A$45,0)),0)))</f>
        <v/>
      </c>
      <c r="S59" s="19"/>
      <c r="T59" s="19"/>
      <c r="U59" s="18" t="str">
        <f aca="false">IF(B59="","",IF(F59="",Settings!$B$9,IFERROR(INDEX(Parts!$H$6:$H$45,MATCH(F59,Parts!$A$6:$A$45,0))+0,Settings!$B$9)))</f>
        <v/>
      </c>
      <c r="V59" s="22" t="str">
        <f aca="false">IF(B59="","",IF(INDEX($E$7:$E$336,ROW()-6+Settings!$B$7)&lt;&gt;"",INDEX($E$7:$E$336,ROW()-6+Settings!$B$7),E59+Settings!$B$7*D59/1440))</f>
        <v/>
      </c>
      <c r="W59" s="22" t="str">
        <f aca="false">IF(B59="","",IF(INDEX($E$7:$E$336,ROW()-6+Settings!$B$7+Settings!$B$8)&lt;&gt;"",INDEX($E$7:$E$336,ROW()-6+Settings!$B$7+Settings!$B$8),E59+(Settings!$B$7+Settings!$B$8)*D59/1440)+U59/1440)</f>
        <v/>
      </c>
      <c r="X59" s="18" t="str">
        <f aca="false">IF(B59="","",IF(INDEX($E$7:$E$336,ROW()-6+Settings!$B$7+Settings!$B$8)&lt;&gt;"","line","estimate"))</f>
        <v/>
      </c>
      <c r="Y59" s="25" t="str">
        <f aca="false">IF(B59="","",INT(W59-Settings!$B$6))</f>
        <v/>
      </c>
      <c r="Z59" s="19"/>
      <c r="AA59" s="18" t="str">
        <f aca="false">IF(B59="","",IF(AND(B59&lt;&gt;"Empty",F59=""),"part missing; ","")&amp;IF(AND(F59&lt;&gt;"",J59=""),"pieces missing; ","")&amp;IF(AND(F59&lt;&gt;"",O59=""),"part not on the Parts sheet; ","")&amp;IF(AND(B59="Empty",OR(F59&lt;&gt;"",K59&lt;&gt;"")),"empty tray with parts; ","")&amp;IF(AND(B59="Loaded",K59&lt;&gt;""),"second part: type Mixed; ","")&amp;IF(AND(Q59&lt;&gt;"",N(Q59)&gt;1),"over 100 % of the spec load; ","")&amp;IF(N(R59)&gt;Settings!$B$10,"over the tray maximum (kg); ","")&amp;IF(AND(K59&lt;&gt;"",IFERROR(INDEX(Parts!$C$6:$C$45,MATCH(K59,Parts!$A$6:$A$45,0)),O59)&lt;&gt;O59),"different processes in one tray; ","")&amp;IF(AND(S59&lt;&gt;"",T59=""),"rework reason missing; ",""))</f>
        <v/>
      </c>
    </row>
    <row r="60" customFormat="false" ht="15" hidden="false" customHeight="false" outlineLevel="0" collapsed="false">
      <c r="A60" s="18" t="str">
        <f aca="false">IF(B60="","",COUNTA(B$7:B60))</f>
        <v/>
      </c>
      <c r="B60" s="19"/>
      <c r="C60" s="20"/>
      <c r="D60" s="19" t="str">
        <f aca="false">IF(B60="","",IF(D59="",Report!$B$12,D59))</f>
        <v/>
      </c>
      <c r="E60" s="22" t="str">
        <f aca="false">IF(B60="","",IF(C60&lt;&gt;"",C60,E59+D59/1440+SUMIFS(Holds!$F$7:$F$46,Holds!$B$7:$B$46,"&gt;="&amp;E59,Holds!$B$7:$B$46,"&lt;"&amp;E59+D59/1440)/1440))</f>
        <v/>
      </c>
      <c r="F60" s="19"/>
      <c r="G60" s="19"/>
      <c r="H60" s="19"/>
      <c r="I60" s="19"/>
      <c r="J60" s="19"/>
      <c r="K60" s="19"/>
      <c r="L60" s="19"/>
      <c r="M60" s="19"/>
      <c r="N60" s="19"/>
      <c r="O60" s="18" t="str">
        <f aca="false">IF(F60="","",IFERROR(INDEX(Parts!$C$6:$C$45,MATCH(F60,Parts!$A$6:$A$45,0)),""))</f>
        <v/>
      </c>
      <c r="P60" s="18" t="str">
        <f aca="false">IF(F60="","",IFERROR(INDEX(Parts!$E$6:$E$45,MATCH(F60,Parts!$A$6:$A$45,0)),""))</f>
        <v/>
      </c>
      <c r="Q60" s="23" t="str">
        <f aca="false">IF(OR(J60="",P60="",P60=0),"",J60/P60+IF(OR(N60="",K60=""),0,IFERROR(N60/INDEX(Parts!$E$6:$E$45,MATCH(K60,Parts!$A$6:$A$45,0)),0)))</f>
        <v/>
      </c>
      <c r="R60" s="24" t="str">
        <f aca="false">IF(B60="","",IF(J60="",0,J60*IFERROR(INDEX(Parts!$F$6:$F$45,MATCH(F60,Parts!$A$6:$A$45,0)),0))+IF(N60="",0,N60*IFERROR(INDEX(Parts!$F$6:$F$45,MATCH(K60,Parts!$A$6:$A$45,0)),0)))</f>
        <v/>
      </c>
      <c r="S60" s="19"/>
      <c r="T60" s="19"/>
      <c r="U60" s="18" t="str">
        <f aca="false">IF(B60="","",IF(F60="",Settings!$B$9,IFERROR(INDEX(Parts!$H$6:$H$45,MATCH(F60,Parts!$A$6:$A$45,0))+0,Settings!$B$9)))</f>
        <v/>
      </c>
      <c r="V60" s="22" t="str">
        <f aca="false">IF(B60="","",IF(INDEX($E$7:$E$336,ROW()-6+Settings!$B$7)&lt;&gt;"",INDEX($E$7:$E$336,ROW()-6+Settings!$B$7),E60+Settings!$B$7*D60/1440))</f>
        <v/>
      </c>
      <c r="W60" s="22" t="str">
        <f aca="false">IF(B60="","",IF(INDEX($E$7:$E$336,ROW()-6+Settings!$B$7+Settings!$B$8)&lt;&gt;"",INDEX($E$7:$E$336,ROW()-6+Settings!$B$7+Settings!$B$8),E60+(Settings!$B$7+Settings!$B$8)*D60/1440)+U60/1440)</f>
        <v/>
      </c>
      <c r="X60" s="18" t="str">
        <f aca="false">IF(B60="","",IF(INDEX($E$7:$E$336,ROW()-6+Settings!$B$7+Settings!$B$8)&lt;&gt;"","line","estimate"))</f>
        <v/>
      </c>
      <c r="Y60" s="25" t="str">
        <f aca="false">IF(B60="","",INT(W60-Settings!$B$6))</f>
        <v/>
      </c>
      <c r="Z60" s="19"/>
      <c r="AA60" s="18" t="str">
        <f aca="false">IF(B60="","",IF(AND(B60&lt;&gt;"Empty",F60=""),"part missing; ","")&amp;IF(AND(F60&lt;&gt;"",J60=""),"pieces missing; ","")&amp;IF(AND(F60&lt;&gt;"",O60=""),"part not on the Parts sheet; ","")&amp;IF(AND(B60="Empty",OR(F60&lt;&gt;"",K60&lt;&gt;"")),"empty tray with parts; ","")&amp;IF(AND(B60="Loaded",K60&lt;&gt;""),"second part: type Mixed; ","")&amp;IF(AND(Q60&lt;&gt;"",N(Q60)&gt;1),"over 100 % of the spec load; ","")&amp;IF(N(R60)&gt;Settings!$B$10,"over the tray maximum (kg); ","")&amp;IF(AND(K60&lt;&gt;"",IFERROR(INDEX(Parts!$C$6:$C$45,MATCH(K60,Parts!$A$6:$A$45,0)),O60)&lt;&gt;O60),"different processes in one tray; ","")&amp;IF(AND(S60&lt;&gt;"",T60=""),"rework reason missing; ",""))</f>
        <v/>
      </c>
    </row>
    <row r="61" customFormat="false" ht="15" hidden="false" customHeight="false" outlineLevel="0" collapsed="false">
      <c r="A61" s="18" t="str">
        <f aca="false">IF(B61="","",COUNTA(B$7:B61))</f>
        <v/>
      </c>
      <c r="B61" s="19"/>
      <c r="C61" s="20"/>
      <c r="D61" s="19" t="str">
        <f aca="false">IF(B61="","",IF(D60="",Report!$B$12,D60))</f>
        <v/>
      </c>
      <c r="E61" s="22" t="str">
        <f aca="false">IF(B61="","",IF(C61&lt;&gt;"",C61,E60+D60/1440+SUMIFS(Holds!$F$7:$F$46,Holds!$B$7:$B$46,"&gt;="&amp;E60,Holds!$B$7:$B$46,"&lt;"&amp;E60+D60/1440)/1440))</f>
        <v/>
      </c>
      <c r="F61" s="19"/>
      <c r="G61" s="19"/>
      <c r="H61" s="19"/>
      <c r="I61" s="19"/>
      <c r="J61" s="19"/>
      <c r="K61" s="19"/>
      <c r="L61" s="19"/>
      <c r="M61" s="19"/>
      <c r="N61" s="19"/>
      <c r="O61" s="18" t="str">
        <f aca="false">IF(F61="","",IFERROR(INDEX(Parts!$C$6:$C$45,MATCH(F61,Parts!$A$6:$A$45,0)),""))</f>
        <v/>
      </c>
      <c r="P61" s="18" t="str">
        <f aca="false">IF(F61="","",IFERROR(INDEX(Parts!$E$6:$E$45,MATCH(F61,Parts!$A$6:$A$45,0)),""))</f>
        <v/>
      </c>
      <c r="Q61" s="23" t="str">
        <f aca="false">IF(OR(J61="",P61="",P61=0),"",J61/P61+IF(OR(N61="",K61=""),0,IFERROR(N61/INDEX(Parts!$E$6:$E$45,MATCH(K61,Parts!$A$6:$A$45,0)),0)))</f>
        <v/>
      </c>
      <c r="R61" s="24" t="str">
        <f aca="false">IF(B61="","",IF(J61="",0,J61*IFERROR(INDEX(Parts!$F$6:$F$45,MATCH(F61,Parts!$A$6:$A$45,0)),0))+IF(N61="",0,N61*IFERROR(INDEX(Parts!$F$6:$F$45,MATCH(K61,Parts!$A$6:$A$45,0)),0)))</f>
        <v/>
      </c>
      <c r="S61" s="19"/>
      <c r="T61" s="19"/>
      <c r="U61" s="18" t="str">
        <f aca="false">IF(B61="","",IF(F61="",Settings!$B$9,IFERROR(INDEX(Parts!$H$6:$H$45,MATCH(F61,Parts!$A$6:$A$45,0))+0,Settings!$B$9)))</f>
        <v/>
      </c>
      <c r="V61" s="22" t="str">
        <f aca="false">IF(B61="","",IF(INDEX($E$7:$E$336,ROW()-6+Settings!$B$7)&lt;&gt;"",INDEX($E$7:$E$336,ROW()-6+Settings!$B$7),E61+Settings!$B$7*D61/1440))</f>
        <v/>
      </c>
      <c r="W61" s="22" t="str">
        <f aca="false">IF(B61="","",IF(INDEX($E$7:$E$336,ROW()-6+Settings!$B$7+Settings!$B$8)&lt;&gt;"",INDEX($E$7:$E$336,ROW()-6+Settings!$B$7+Settings!$B$8),E61+(Settings!$B$7+Settings!$B$8)*D61/1440)+U61/1440)</f>
        <v/>
      </c>
      <c r="X61" s="18" t="str">
        <f aca="false">IF(B61="","",IF(INDEX($E$7:$E$336,ROW()-6+Settings!$B$7+Settings!$B$8)&lt;&gt;"","line","estimate"))</f>
        <v/>
      </c>
      <c r="Y61" s="25" t="str">
        <f aca="false">IF(B61="","",INT(W61-Settings!$B$6))</f>
        <v/>
      </c>
      <c r="Z61" s="19"/>
      <c r="AA61" s="18" t="str">
        <f aca="false">IF(B61="","",IF(AND(B61&lt;&gt;"Empty",F61=""),"part missing; ","")&amp;IF(AND(F61&lt;&gt;"",J61=""),"pieces missing; ","")&amp;IF(AND(F61&lt;&gt;"",O61=""),"part not on the Parts sheet; ","")&amp;IF(AND(B61="Empty",OR(F61&lt;&gt;"",K61&lt;&gt;"")),"empty tray with parts; ","")&amp;IF(AND(B61="Loaded",K61&lt;&gt;""),"second part: type Mixed; ","")&amp;IF(AND(Q61&lt;&gt;"",N(Q61)&gt;1),"over 100 % of the spec load; ","")&amp;IF(N(R61)&gt;Settings!$B$10,"over the tray maximum (kg); ","")&amp;IF(AND(K61&lt;&gt;"",IFERROR(INDEX(Parts!$C$6:$C$45,MATCH(K61,Parts!$A$6:$A$45,0)),O61)&lt;&gt;O61),"different processes in one tray; ","")&amp;IF(AND(S61&lt;&gt;"",T61=""),"rework reason missing; ",""))</f>
        <v/>
      </c>
    </row>
    <row r="62" customFormat="false" ht="15" hidden="false" customHeight="false" outlineLevel="0" collapsed="false">
      <c r="A62" s="18" t="str">
        <f aca="false">IF(B62="","",COUNTA(B$7:B62))</f>
        <v/>
      </c>
      <c r="B62" s="19"/>
      <c r="C62" s="20"/>
      <c r="D62" s="19" t="str">
        <f aca="false">IF(B62="","",IF(D61="",Report!$B$12,D61))</f>
        <v/>
      </c>
      <c r="E62" s="22" t="str">
        <f aca="false">IF(B62="","",IF(C62&lt;&gt;"",C62,E61+D61/1440+SUMIFS(Holds!$F$7:$F$46,Holds!$B$7:$B$46,"&gt;="&amp;E61,Holds!$B$7:$B$46,"&lt;"&amp;E61+D61/1440)/1440))</f>
        <v/>
      </c>
      <c r="F62" s="19"/>
      <c r="G62" s="19"/>
      <c r="H62" s="19"/>
      <c r="I62" s="19"/>
      <c r="J62" s="19"/>
      <c r="K62" s="19"/>
      <c r="L62" s="19"/>
      <c r="M62" s="19"/>
      <c r="N62" s="19"/>
      <c r="O62" s="18" t="str">
        <f aca="false">IF(F62="","",IFERROR(INDEX(Parts!$C$6:$C$45,MATCH(F62,Parts!$A$6:$A$45,0)),""))</f>
        <v/>
      </c>
      <c r="P62" s="18" t="str">
        <f aca="false">IF(F62="","",IFERROR(INDEX(Parts!$E$6:$E$45,MATCH(F62,Parts!$A$6:$A$45,0)),""))</f>
        <v/>
      </c>
      <c r="Q62" s="23" t="str">
        <f aca="false">IF(OR(J62="",P62="",P62=0),"",J62/P62+IF(OR(N62="",K62=""),0,IFERROR(N62/INDEX(Parts!$E$6:$E$45,MATCH(K62,Parts!$A$6:$A$45,0)),0)))</f>
        <v/>
      </c>
      <c r="R62" s="24" t="str">
        <f aca="false">IF(B62="","",IF(J62="",0,J62*IFERROR(INDEX(Parts!$F$6:$F$45,MATCH(F62,Parts!$A$6:$A$45,0)),0))+IF(N62="",0,N62*IFERROR(INDEX(Parts!$F$6:$F$45,MATCH(K62,Parts!$A$6:$A$45,0)),0)))</f>
        <v/>
      </c>
      <c r="S62" s="19"/>
      <c r="T62" s="19"/>
      <c r="U62" s="18" t="str">
        <f aca="false">IF(B62="","",IF(F62="",Settings!$B$9,IFERROR(INDEX(Parts!$H$6:$H$45,MATCH(F62,Parts!$A$6:$A$45,0))+0,Settings!$B$9)))</f>
        <v/>
      </c>
      <c r="V62" s="22" t="str">
        <f aca="false">IF(B62="","",IF(INDEX($E$7:$E$336,ROW()-6+Settings!$B$7)&lt;&gt;"",INDEX($E$7:$E$336,ROW()-6+Settings!$B$7),E62+Settings!$B$7*D62/1440))</f>
        <v/>
      </c>
      <c r="W62" s="22" t="str">
        <f aca="false">IF(B62="","",IF(INDEX($E$7:$E$336,ROW()-6+Settings!$B$7+Settings!$B$8)&lt;&gt;"",INDEX($E$7:$E$336,ROW()-6+Settings!$B$7+Settings!$B$8),E62+(Settings!$B$7+Settings!$B$8)*D62/1440)+U62/1440)</f>
        <v/>
      </c>
      <c r="X62" s="18" t="str">
        <f aca="false">IF(B62="","",IF(INDEX($E$7:$E$336,ROW()-6+Settings!$B$7+Settings!$B$8)&lt;&gt;"","line","estimate"))</f>
        <v/>
      </c>
      <c r="Y62" s="25" t="str">
        <f aca="false">IF(B62="","",INT(W62-Settings!$B$6))</f>
        <v/>
      </c>
      <c r="Z62" s="19"/>
      <c r="AA62" s="18" t="str">
        <f aca="false">IF(B62="","",IF(AND(B62&lt;&gt;"Empty",F62=""),"part missing; ","")&amp;IF(AND(F62&lt;&gt;"",J62=""),"pieces missing; ","")&amp;IF(AND(F62&lt;&gt;"",O62=""),"part not on the Parts sheet; ","")&amp;IF(AND(B62="Empty",OR(F62&lt;&gt;"",K62&lt;&gt;"")),"empty tray with parts; ","")&amp;IF(AND(B62="Loaded",K62&lt;&gt;""),"second part: type Mixed; ","")&amp;IF(AND(Q62&lt;&gt;"",N(Q62)&gt;1),"over 100 % of the spec load; ","")&amp;IF(N(R62)&gt;Settings!$B$10,"over the tray maximum (kg); ","")&amp;IF(AND(K62&lt;&gt;"",IFERROR(INDEX(Parts!$C$6:$C$45,MATCH(K62,Parts!$A$6:$A$45,0)),O62)&lt;&gt;O62),"different processes in one tray; ","")&amp;IF(AND(S62&lt;&gt;"",T62=""),"rework reason missing; ",""))</f>
        <v/>
      </c>
    </row>
    <row r="63" customFormat="false" ht="15" hidden="false" customHeight="false" outlineLevel="0" collapsed="false">
      <c r="A63" s="18" t="str">
        <f aca="false">IF(B63="","",COUNTA(B$7:B63))</f>
        <v/>
      </c>
      <c r="B63" s="19"/>
      <c r="C63" s="20"/>
      <c r="D63" s="19" t="str">
        <f aca="false">IF(B63="","",IF(D62="",Report!$B$12,D62))</f>
        <v/>
      </c>
      <c r="E63" s="22" t="str">
        <f aca="false">IF(B63="","",IF(C63&lt;&gt;"",C63,E62+D62/1440+SUMIFS(Holds!$F$7:$F$46,Holds!$B$7:$B$46,"&gt;="&amp;E62,Holds!$B$7:$B$46,"&lt;"&amp;E62+D62/1440)/1440))</f>
        <v/>
      </c>
      <c r="F63" s="19"/>
      <c r="G63" s="19"/>
      <c r="H63" s="19"/>
      <c r="I63" s="19"/>
      <c r="J63" s="19"/>
      <c r="K63" s="19"/>
      <c r="L63" s="19"/>
      <c r="M63" s="19"/>
      <c r="N63" s="19"/>
      <c r="O63" s="18" t="str">
        <f aca="false">IF(F63="","",IFERROR(INDEX(Parts!$C$6:$C$45,MATCH(F63,Parts!$A$6:$A$45,0)),""))</f>
        <v/>
      </c>
      <c r="P63" s="18" t="str">
        <f aca="false">IF(F63="","",IFERROR(INDEX(Parts!$E$6:$E$45,MATCH(F63,Parts!$A$6:$A$45,0)),""))</f>
        <v/>
      </c>
      <c r="Q63" s="23" t="str">
        <f aca="false">IF(OR(J63="",P63="",P63=0),"",J63/P63+IF(OR(N63="",K63=""),0,IFERROR(N63/INDEX(Parts!$E$6:$E$45,MATCH(K63,Parts!$A$6:$A$45,0)),0)))</f>
        <v/>
      </c>
      <c r="R63" s="24" t="str">
        <f aca="false">IF(B63="","",IF(J63="",0,J63*IFERROR(INDEX(Parts!$F$6:$F$45,MATCH(F63,Parts!$A$6:$A$45,0)),0))+IF(N63="",0,N63*IFERROR(INDEX(Parts!$F$6:$F$45,MATCH(K63,Parts!$A$6:$A$45,0)),0)))</f>
        <v/>
      </c>
      <c r="S63" s="19"/>
      <c r="T63" s="19"/>
      <c r="U63" s="18" t="str">
        <f aca="false">IF(B63="","",IF(F63="",Settings!$B$9,IFERROR(INDEX(Parts!$H$6:$H$45,MATCH(F63,Parts!$A$6:$A$45,0))+0,Settings!$B$9)))</f>
        <v/>
      </c>
      <c r="V63" s="22" t="str">
        <f aca="false">IF(B63="","",IF(INDEX($E$7:$E$336,ROW()-6+Settings!$B$7)&lt;&gt;"",INDEX($E$7:$E$336,ROW()-6+Settings!$B$7),E63+Settings!$B$7*D63/1440))</f>
        <v/>
      </c>
      <c r="W63" s="22" t="str">
        <f aca="false">IF(B63="","",IF(INDEX($E$7:$E$336,ROW()-6+Settings!$B$7+Settings!$B$8)&lt;&gt;"",INDEX($E$7:$E$336,ROW()-6+Settings!$B$7+Settings!$B$8),E63+(Settings!$B$7+Settings!$B$8)*D63/1440)+U63/1440)</f>
        <v/>
      </c>
      <c r="X63" s="18" t="str">
        <f aca="false">IF(B63="","",IF(INDEX($E$7:$E$336,ROW()-6+Settings!$B$7+Settings!$B$8)&lt;&gt;"","line","estimate"))</f>
        <v/>
      </c>
      <c r="Y63" s="25" t="str">
        <f aca="false">IF(B63="","",INT(W63-Settings!$B$6))</f>
        <v/>
      </c>
      <c r="Z63" s="19"/>
      <c r="AA63" s="18" t="str">
        <f aca="false">IF(B63="","",IF(AND(B63&lt;&gt;"Empty",F63=""),"part missing; ","")&amp;IF(AND(F63&lt;&gt;"",J63=""),"pieces missing; ","")&amp;IF(AND(F63&lt;&gt;"",O63=""),"part not on the Parts sheet; ","")&amp;IF(AND(B63="Empty",OR(F63&lt;&gt;"",K63&lt;&gt;"")),"empty tray with parts; ","")&amp;IF(AND(B63="Loaded",K63&lt;&gt;""),"second part: type Mixed; ","")&amp;IF(AND(Q63&lt;&gt;"",N(Q63)&gt;1),"over 100 % of the spec load; ","")&amp;IF(N(R63)&gt;Settings!$B$10,"over the tray maximum (kg); ","")&amp;IF(AND(K63&lt;&gt;"",IFERROR(INDEX(Parts!$C$6:$C$45,MATCH(K63,Parts!$A$6:$A$45,0)),O63)&lt;&gt;O63),"different processes in one tray; ","")&amp;IF(AND(S63&lt;&gt;"",T63=""),"rework reason missing; ",""))</f>
        <v/>
      </c>
    </row>
    <row r="64" customFormat="false" ht="15" hidden="false" customHeight="false" outlineLevel="0" collapsed="false">
      <c r="A64" s="18" t="str">
        <f aca="false">IF(B64="","",COUNTA(B$7:B64))</f>
        <v/>
      </c>
      <c r="B64" s="19"/>
      <c r="C64" s="20"/>
      <c r="D64" s="19" t="str">
        <f aca="false">IF(B64="","",IF(D63="",Report!$B$12,D63))</f>
        <v/>
      </c>
      <c r="E64" s="22" t="str">
        <f aca="false">IF(B64="","",IF(C64&lt;&gt;"",C64,E63+D63/1440+SUMIFS(Holds!$F$7:$F$46,Holds!$B$7:$B$46,"&gt;="&amp;E63,Holds!$B$7:$B$46,"&lt;"&amp;E63+D63/1440)/1440))</f>
        <v/>
      </c>
      <c r="F64" s="19"/>
      <c r="G64" s="19"/>
      <c r="H64" s="19"/>
      <c r="I64" s="19"/>
      <c r="J64" s="19"/>
      <c r="K64" s="19"/>
      <c r="L64" s="19"/>
      <c r="M64" s="19"/>
      <c r="N64" s="19"/>
      <c r="O64" s="18" t="str">
        <f aca="false">IF(F64="","",IFERROR(INDEX(Parts!$C$6:$C$45,MATCH(F64,Parts!$A$6:$A$45,0)),""))</f>
        <v/>
      </c>
      <c r="P64" s="18" t="str">
        <f aca="false">IF(F64="","",IFERROR(INDEX(Parts!$E$6:$E$45,MATCH(F64,Parts!$A$6:$A$45,0)),""))</f>
        <v/>
      </c>
      <c r="Q64" s="23" t="str">
        <f aca="false">IF(OR(J64="",P64="",P64=0),"",J64/P64+IF(OR(N64="",K64=""),0,IFERROR(N64/INDEX(Parts!$E$6:$E$45,MATCH(K64,Parts!$A$6:$A$45,0)),0)))</f>
        <v/>
      </c>
      <c r="R64" s="24" t="str">
        <f aca="false">IF(B64="","",IF(J64="",0,J64*IFERROR(INDEX(Parts!$F$6:$F$45,MATCH(F64,Parts!$A$6:$A$45,0)),0))+IF(N64="",0,N64*IFERROR(INDEX(Parts!$F$6:$F$45,MATCH(K64,Parts!$A$6:$A$45,0)),0)))</f>
        <v/>
      </c>
      <c r="S64" s="19"/>
      <c r="T64" s="19"/>
      <c r="U64" s="18" t="str">
        <f aca="false">IF(B64="","",IF(F64="",Settings!$B$9,IFERROR(INDEX(Parts!$H$6:$H$45,MATCH(F64,Parts!$A$6:$A$45,0))+0,Settings!$B$9)))</f>
        <v/>
      </c>
      <c r="V64" s="22" t="str">
        <f aca="false">IF(B64="","",IF(INDEX($E$7:$E$336,ROW()-6+Settings!$B$7)&lt;&gt;"",INDEX($E$7:$E$336,ROW()-6+Settings!$B$7),E64+Settings!$B$7*D64/1440))</f>
        <v/>
      </c>
      <c r="W64" s="22" t="str">
        <f aca="false">IF(B64="","",IF(INDEX($E$7:$E$336,ROW()-6+Settings!$B$7+Settings!$B$8)&lt;&gt;"",INDEX($E$7:$E$336,ROW()-6+Settings!$B$7+Settings!$B$8),E64+(Settings!$B$7+Settings!$B$8)*D64/1440)+U64/1440)</f>
        <v/>
      </c>
      <c r="X64" s="18" t="str">
        <f aca="false">IF(B64="","",IF(INDEX($E$7:$E$336,ROW()-6+Settings!$B$7+Settings!$B$8)&lt;&gt;"","line","estimate"))</f>
        <v/>
      </c>
      <c r="Y64" s="25" t="str">
        <f aca="false">IF(B64="","",INT(W64-Settings!$B$6))</f>
        <v/>
      </c>
      <c r="Z64" s="19"/>
      <c r="AA64" s="18" t="str">
        <f aca="false">IF(B64="","",IF(AND(B64&lt;&gt;"Empty",F64=""),"part missing; ","")&amp;IF(AND(F64&lt;&gt;"",J64=""),"pieces missing; ","")&amp;IF(AND(F64&lt;&gt;"",O64=""),"part not on the Parts sheet; ","")&amp;IF(AND(B64="Empty",OR(F64&lt;&gt;"",K64&lt;&gt;"")),"empty tray with parts; ","")&amp;IF(AND(B64="Loaded",K64&lt;&gt;""),"second part: type Mixed; ","")&amp;IF(AND(Q64&lt;&gt;"",N(Q64)&gt;1),"over 100 % of the spec load; ","")&amp;IF(N(R64)&gt;Settings!$B$10,"over the tray maximum (kg); ","")&amp;IF(AND(K64&lt;&gt;"",IFERROR(INDEX(Parts!$C$6:$C$45,MATCH(K64,Parts!$A$6:$A$45,0)),O64)&lt;&gt;O64),"different processes in one tray; ","")&amp;IF(AND(S64&lt;&gt;"",T64=""),"rework reason missing; ",""))</f>
        <v/>
      </c>
    </row>
    <row r="65" customFormat="false" ht="15" hidden="false" customHeight="false" outlineLevel="0" collapsed="false">
      <c r="A65" s="18" t="str">
        <f aca="false">IF(B65="","",COUNTA(B$7:B65))</f>
        <v/>
      </c>
      <c r="B65" s="19"/>
      <c r="C65" s="20"/>
      <c r="D65" s="19" t="str">
        <f aca="false">IF(B65="","",IF(D64="",Report!$B$12,D64))</f>
        <v/>
      </c>
      <c r="E65" s="22" t="str">
        <f aca="false">IF(B65="","",IF(C65&lt;&gt;"",C65,E64+D64/1440+SUMIFS(Holds!$F$7:$F$46,Holds!$B$7:$B$46,"&gt;="&amp;E64,Holds!$B$7:$B$46,"&lt;"&amp;E64+D64/1440)/1440))</f>
        <v/>
      </c>
      <c r="F65" s="19"/>
      <c r="G65" s="19"/>
      <c r="H65" s="19"/>
      <c r="I65" s="19"/>
      <c r="J65" s="19"/>
      <c r="K65" s="19"/>
      <c r="L65" s="19"/>
      <c r="M65" s="19"/>
      <c r="N65" s="19"/>
      <c r="O65" s="18" t="str">
        <f aca="false">IF(F65="","",IFERROR(INDEX(Parts!$C$6:$C$45,MATCH(F65,Parts!$A$6:$A$45,0)),""))</f>
        <v/>
      </c>
      <c r="P65" s="18" t="str">
        <f aca="false">IF(F65="","",IFERROR(INDEX(Parts!$E$6:$E$45,MATCH(F65,Parts!$A$6:$A$45,0)),""))</f>
        <v/>
      </c>
      <c r="Q65" s="23" t="str">
        <f aca="false">IF(OR(J65="",P65="",P65=0),"",J65/P65+IF(OR(N65="",K65=""),0,IFERROR(N65/INDEX(Parts!$E$6:$E$45,MATCH(K65,Parts!$A$6:$A$45,0)),0)))</f>
        <v/>
      </c>
      <c r="R65" s="24" t="str">
        <f aca="false">IF(B65="","",IF(J65="",0,J65*IFERROR(INDEX(Parts!$F$6:$F$45,MATCH(F65,Parts!$A$6:$A$45,0)),0))+IF(N65="",0,N65*IFERROR(INDEX(Parts!$F$6:$F$45,MATCH(K65,Parts!$A$6:$A$45,0)),0)))</f>
        <v/>
      </c>
      <c r="S65" s="19"/>
      <c r="T65" s="19"/>
      <c r="U65" s="18" t="str">
        <f aca="false">IF(B65="","",IF(F65="",Settings!$B$9,IFERROR(INDEX(Parts!$H$6:$H$45,MATCH(F65,Parts!$A$6:$A$45,0))+0,Settings!$B$9)))</f>
        <v/>
      </c>
      <c r="V65" s="22" t="str">
        <f aca="false">IF(B65="","",IF(INDEX($E$7:$E$336,ROW()-6+Settings!$B$7)&lt;&gt;"",INDEX($E$7:$E$336,ROW()-6+Settings!$B$7),E65+Settings!$B$7*D65/1440))</f>
        <v/>
      </c>
      <c r="W65" s="22" t="str">
        <f aca="false">IF(B65="","",IF(INDEX($E$7:$E$336,ROW()-6+Settings!$B$7+Settings!$B$8)&lt;&gt;"",INDEX($E$7:$E$336,ROW()-6+Settings!$B$7+Settings!$B$8),E65+(Settings!$B$7+Settings!$B$8)*D65/1440)+U65/1440)</f>
        <v/>
      </c>
      <c r="X65" s="18" t="str">
        <f aca="false">IF(B65="","",IF(INDEX($E$7:$E$336,ROW()-6+Settings!$B$7+Settings!$B$8)&lt;&gt;"","line","estimate"))</f>
        <v/>
      </c>
      <c r="Y65" s="25" t="str">
        <f aca="false">IF(B65="","",INT(W65-Settings!$B$6))</f>
        <v/>
      </c>
      <c r="Z65" s="19"/>
      <c r="AA65" s="18" t="str">
        <f aca="false">IF(B65="","",IF(AND(B65&lt;&gt;"Empty",F65=""),"part missing; ","")&amp;IF(AND(F65&lt;&gt;"",J65=""),"pieces missing; ","")&amp;IF(AND(F65&lt;&gt;"",O65=""),"part not on the Parts sheet; ","")&amp;IF(AND(B65="Empty",OR(F65&lt;&gt;"",K65&lt;&gt;"")),"empty tray with parts; ","")&amp;IF(AND(B65="Loaded",K65&lt;&gt;""),"second part: type Mixed; ","")&amp;IF(AND(Q65&lt;&gt;"",N(Q65)&gt;1),"over 100 % of the spec load; ","")&amp;IF(N(R65)&gt;Settings!$B$10,"over the tray maximum (kg); ","")&amp;IF(AND(K65&lt;&gt;"",IFERROR(INDEX(Parts!$C$6:$C$45,MATCH(K65,Parts!$A$6:$A$45,0)),O65)&lt;&gt;O65),"different processes in one tray; ","")&amp;IF(AND(S65&lt;&gt;"",T65=""),"rework reason missing; ",""))</f>
        <v/>
      </c>
    </row>
    <row r="66" customFormat="false" ht="15" hidden="false" customHeight="false" outlineLevel="0" collapsed="false">
      <c r="A66" s="18" t="str">
        <f aca="false">IF(B66="","",COUNTA(B$7:B66))</f>
        <v/>
      </c>
      <c r="B66" s="19"/>
      <c r="C66" s="20"/>
      <c r="D66" s="19" t="str">
        <f aca="false">IF(B66="","",IF(D65="",Report!$B$12,D65))</f>
        <v/>
      </c>
      <c r="E66" s="22" t="str">
        <f aca="false">IF(B66="","",IF(C66&lt;&gt;"",C66,E65+D65/1440+SUMIFS(Holds!$F$7:$F$46,Holds!$B$7:$B$46,"&gt;="&amp;E65,Holds!$B$7:$B$46,"&lt;"&amp;E65+D65/1440)/1440))</f>
        <v/>
      </c>
      <c r="F66" s="19"/>
      <c r="G66" s="19"/>
      <c r="H66" s="19"/>
      <c r="I66" s="19"/>
      <c r="J66" s="19"/>
      <c r="K66" s="19"/>
      <c r="L66" s="19"/>
      <c r="M66" s="19"/>
      <c r="N66" s="19"/>
      <c r="O66" s="18" t="str">
        <f aca="false">IF(F66="","",IFERROR(INDEX(Parts!$C$6:$C$45,MATCH(F66,Parts!$A$6:$A$45,0)),""))</f>
        <v/>
      </c>
      <c r="P66" s="18" t="str">
        <f aca="false">IF(F66="","",IFERROR(INDEX(Parts!$E$6:$E$45,MATCH(F66,Parts!$A$6:$A$45,0)),""))</f>
        <v/>
      </c>
      <c r="Q66" s="23" t="str">
        <f aca="false">IF(OR(J66="",P66="",P66=0),"",J66/P66+IF(OR(N66="",K66=""),0,IFERROR(N66/INDEX(Parts!$E$6:$E$45,MATCH(K66,Parts!$A$6:$A$45,0)),0)))</f>
        <v/>
      </c>
      <c r="R66" s="24" t="str">
        <f aca="false">IF(B66="","",IF(J66="",0,J66*IFERROR(INDEX(Parts!$F$6:$F$45,MATCH(F66,Parts!$A$6:$A$45,0)),0))+IF(N66="",0,N66*IFERROR(INDEX(Parts!$F$6:$F$45,MATCH(K66,Parts!$A$6:$A$45,0)),0)))</f>
        <v/>
      </c>
      <c r="S66" s="19"/>
      <c r="T66" s="19"/>
      <c r="U66" s="18" t="str">
        <f aca="false">IF(B66="","",IF(F66="",Settings!$B$9,IFERROR(INDEX(Parts!$H$6:$H$45,MATCH(F66,Parts!$A$6:$A$45,0))+0,Settings!$B$9)))</f>
        <v/>
      </c>
      <c r="V66" s="22" t="str">
        <f aca="false">IF(B66="","",IF(INDEX($E$7:$E$336,ROW()-6+Settings!$B$7)&lt;&gt;"",INDEX($E$7:$E$336,ROW()-6+Settings!$B$7),E66+Settings!$B$7*D66/1440))</f>
        <v/>
      </c>
      <c r="W66" s="22" t="str">
        <f aca="false">IF(B66="","",IF(INDEX($E$7:$E$336,ROW()-6+Settings!$B$7+Settings!$B$8)&lt;&gt;"",INDEX($E$7:$E$336,ROW()-6+Settings!$B$7+Settings!$B$8),E66+(Settings!$B$7+Settings!$B$8)*D66/1440)+U66/1440)</f>
        <v/>
      </c>
      <c r="X66" s="18" t="str">
        <f aca="false">IF(B66="","",IF(INDEX($E$7:$E$336,ROW()-6+Settings!$B$7+Settings!$B$8)&lt;&gt;"","line","estimate"))</f>
        <v/>
      </c>
      <c r="Y66" s="25" t="str">
        <f aca="false">IF(B66="","",INT(W66-Settings!$B$6))</f>
        <v/>
      </c>
      <c r="Z66" s="19"/>
      <c r="AA66" s="18" t="str">
        <f aca="false">IF(B66="","",IF(AND(B66&lt;&gt;"Empty",F66=""),"part missing; ","")&amp;IF(AND(F66&lt;&gt;"",J66=""),"pieces missing; ","")&amp;IF(AND(F66&lt;&gt;"",O66=""),"part not on the Parts sheet; ","")&amp;IF(AND(B66="Empty",OR(F66&lt;&gt;"",K66&lt;&gt;"")),"empty tray with parts; ","")&amp;IF(AND(B66="Loaded",K66&lt;&gt;""),"second part: type Mixed; ","")&amp;IF(AND(Q66&lt;&gt;"",N(Q66)&gt;1),"over 100 % of the spec load; ","")&amp;IF(N(R66)&gt;Settings!$B$10,"over the tray maximum (kg); ","")&amp;IF(AND(K66&lt;&gt;"",IFERROR(INDEX(Parts!$C$6:$C$45,MATCH(K66,Parts!$A$6:$A$45,0)),O66)&lt;&gt;O66),"different processes in one tray; ","")&amp;IF(AND(S66&lt;&gt;"",T66=""),"rework reason missing; ",""))</f>
        <v/>
      </c>
    </row>
    <row r="67" customFormat="false" ht="15" hidden="false" customHeight="false" outlineLevel="0" collapsed="false">
      <c r="A67" s="18" t="str">
        <f aca="false">IF(B67="","",COUNTA(B$7:B67))</f>
        <v/>
      </c>
      <c r="B67" s="19"/>
      <c r="C67" s="20"/>
      <c r="D67" s="19" t="str">
        <f aca="false">IF(B67="","",IF(D66="",Report!$B$12,D66))</f>
        <v/>
      </c>
      <c r="E67" s="22" t="str">
        <f aca="false">IF(B67="","",IF(C67&lt;&gt;"",C67,E66+D66/1440+SUMIFS(Holds!$F$7:$F$46,Holds!$B$7:$B$46,"&gt;="&amp;E66,Holds!$B$7:$B$46,"&lt;"&amp;E66+D66/1440)/1440))</f>
        <v/>
      </c>
      <c r="F67" s="19"/>
      <c r="G67" s="19"/>
      <c r="H67" s="19"/>
      <c r="I67" s="19"/>
      <c r="J67" s="19"/>
      <c r="K67" s="19"/>
      <c r="L67" s="19"/>
      <c r="M67" s="19"/>
      <c r="N67" s="19"/>
      <c r="O67" s="18" t="str">
        <f aca="false">IF(F67="","",IFERROR(INDEX(Parts!$C$6:$C$45,MATCH(F67,Parts!$A$6:$A$45,0)),""))</f>
        <v/>
      </c>
      <c r="P67" s="18" t="str">
        <f aca="false">IF(F67="","",IFERROR(INDEX(Parts!$E$6:$E$45,MATCH(F67,Parts!$A$6:$A$45,0)),""))</f>
        <v/>
      </c>
      <c r="Q67" s="23" t="str">
        <f aca="false">IF(OR(J67="",P67="",P67=0),"",J67/P67+IF(OR(N67="",K67=""),0,IFERROR(N67/INDEX(Parts!$E$6:$E$45,MATCH(K67,Parts!$A$6:$A$45,0)),0)))</f>
        <v/>
      </c>
      <c r="R67" s="24" t="str">
        <f aca="false">IF(B67="","",IF(J67="",0,J67*IFERROR(INDEX(Parts!$F$6:$F$45,MATCH(F67,Parts!$A$6:$A$45,0)),0))+IF(N67="",0,N67*IFERROR(INDEX(Parts!$F$6:$F$45,MATCH(K67,Parts!$A$6:$A$45,0)),0)))</f>
        <v/>
      </c>
      <c r="S67" s="19"/>
      <c r="T67" s="19"/>
      <c r="U67" s="18" t="str">
        <f aca="false">IF(B67="","",IF(F67="",Settings!$B$9,IFERROR(INDEX(Parts!$H$6:$H$45,MATCH(F67,Parts!$A$6:$A$45,0))+0,Settings!$B$9)))</f>
        <v/>
      </c>
      <c r="V67" s="22" t="str">
        <f aca="false">IF(B67="","",IF(INDEX($E$7:$E$336,ROW()-6+Settings!$B$7)&lt;&gt;"",INDEX($E$7:$E$336,ROW()-6+Settings!$B$7),E67+Settings!$B$7*D67/1440))</f>
        <v/>
      </c>
      <c r="W67" s="22" t="str">
        <f aca="false">IF(B67="","",IF(INDEX($E$7:$E$336,ROW()-6+Settings!$B$7+Settings!$B$8)&lt;&gt;"",INDEX($E$7:$E$336,ROW()-6+Settings!$B$7+Settings!$B$8),E67+(Settings!$B$7+Settings!$B$8)*D67/1440)+U67/1440)</f>
        <v/>
      </c>
      <c r="X67" s="18" t="str">
        <f aca="false">IF(B67="","",IF(INDEX($E$7:$E$336,ROW()-6+Settings!$B$7+Settings!$B$8)&lt;&gt;"","line","estimate"))</f>
        <v/>
      </c>
      <c r="Y67" s="25" t="str">
        <f aca="false">IF(B67="","",INT(W67-Settings!$B$6))</f>
        <v/>
      </c>
      <c r="Z67" s="19"/>
      <c r="AA67" s="18" t="str">
        <f aca="false">IF(B67="","",IF(AND(B67&lt;&gt;"Empty",F67=""),"part missing; ","")&amp;IF(AND(F67&lt;&gt;"",J67=""),"pieces missing; ","")&amp;IF(AND(F67&lt;&gt;"",O67=""),"part not on the Parts sheet; ","")&amp;IF(AND(B67="Empty",OR(F67&lt;&gt;"",K67&lt;&gt;"")),"empty tray with parts; ","")&amp;IF(AND(B67="Loaded",K67&lt;&gt;""),"second part: type Mixed; ","")&amp;IF(AND(Q67&lt;&gt;"",N(Q67)&gt;1),"over 100 % of the spec load; ","")&amp;IF(N(R67)&gt;Settings!$B$10,"over the tray maximum (kg); ","")&amp;IF(AND(K67&lt;&gt;"",IFERROR(INDEX(Parts!$C$6:$C$45,MATCH(K67,Parts!$A$6:$A$45,0)),O67)&lt;&gt;O67),"different processes in one tray; ","")&amp;IF(AND(S67&lt;&gt;"",T67=""),"rework reason missing; ",""))</f>
        <v/>
      </c>
    </row>
    <row r="68" customFormat="false" ht="15" hidden="false" customHeight="false" outlineLevel="0" collapsed="false">
      <c r="A68" s="18" t="str">
        <f aca="false">IF(B68="","",COUNTA(B$7:B68))</f>
        <v/>
      </c>
      <c r="B68" s="19"/>
      <c r="C68" s="20"/>
      <c r="D68" s="19" t="str">
        <f aca="false">IF(B68="","",IF(D67="",Report!$B$12,D67))</f>
        <v/>
      </c>
      <c r="E68" s="22" t="str">
        <f aca="false">IF(B68="","",IF(C68&lt;&gt;"",C68,E67+D67/1440+SUMIFS(Holds!$F$7:$F$46,Holds!$B$7:$B$46,"&gt;="&amp;E67,Holds!$B$7:$B$46,"&lt;"&amp;E67+D67/1440)/1440))</f>
        <v/>
      </c>
      <c r="F68" s="19"/>
      <c r="G68" s="19"/>
      <c r="H68" s="19"/>
      <c r="I68" s="19"/>
      <c r="J68" s="19"/>
      <c r="K68" s="19"/>
      <c r="L68" s="19"/>
      <c r="M68" s="19"/>
      <c r="N68" s="19"/>
      <c r="O68" s="18" t="str">
        <f aca="false">IF(F68="","",IFERROR(INDEX(Parts!$C$6:$C$45,MATCH(F68,Parts!$A$6:$A$45,0)),""))</f>
        <v/>
      </c>
      <c r="P68" s="18" t="str">
        <f aca="false">IF(F68="","",IFERROR(INDEX(Parts!$E$6:$E$45,MATCH(F68,Parts!$A$6:$A$45,0)),""))</f>
        <v/>
      </c>
      <c r="Q68" s="23" t="str">
        <f aca="false">IF(OR(J68="",P68="",P68=0),"",J68/P68+IF(OR(N68="",K68=""),0,IFERROR(N68/INDEX(Parts!$E$6:$E$45,MATCH(K68,Parts!$A$6:$A$45,0)),0)))</f>
        <v/>
      </c>
      <c r="R68" s="24" t="str">
        <f aca="false">IF(B68="","",IF(J68="",0,J68*IFERROR(INDEX(Parts!$F$6:$F$45,MATCH(F68,Parts!$A$6:$A$45,0)),0))+IF(N68="",0,N68*IFERROR(INDEX(Parts!$F$6:$F$45,MATCH(K68,Parts!$A$6:$A$45,0)),0)))</f>
        <v/>
      </c>
      <c r="S68" s="19"/>
      <c r="T68" s="19"/>
      <c r="U68" s="18" t="str">
        <f aca="false">IF(B68="","",IF(F68="",Settings!$B$9,IFERROR(INDEX(Parts!$H$6:$H$45,MATCH(F68,Parts!$A$6:$A$45,0))+0,Settings!$B$9)))</f>
        <v/>
      </c>
      <c r="V68" s="22" t="str">
        <f aca="false">IF(B68="","",IF(INDEX($E$7:$E$336,ROW()-6+Settings!$B$7)&lt;&gt;"",INDEX($E$7:$E$336,ROW()-6+Settings!$B$7),E68+Settings!$B$7*D68/1440))</f>
        <v/>
      </c>
      <c r="W68" s="22" t="str">
        <f aca="false">IF(B68="","",IF(INDEX($E$7:$E$336,ROW()-6+Settings!$B$7+Settings!$B$8)&lt;&gt;"",INDEX($E$7:$E$336,ROW()-6+Settings!$B$7+Settings!$B$8),E68+(Settings!$B$7+Settings!$B$8)*D68/1440)+U68/1440)</f>
        <v/>
      </c>
      <c r="X68" s="18" t="str">
        <f aca="false">IF(B68="","",IF(INDEX($E$7:$E$336,ROW()-6+Settings!$B$7+Settings!$B$8)&lt;&gt;"","line","estimate"))</f>
        <v/>
      </c>
      <c r="Y68" s="25" t="str">
        <f aca="false">IF(B68="","",INT(W68-Settings!$B$6))</f>
        <v/>
      </c>
      <c r="Z68" s="19"/>
      <c r="AA68" s="18" t="str">
        <f aca="false">IF(B68="","",IF(AND(B68&lt;&gt;"Empty",F68=""),"part missing; ","")&amp;IF(AND(F68&lt;&gt;"",J68=""),"pieces missing; ","")&amp;IF(AND(F68&lt;&gt;"",O68=""),"part not on the Parts sheet; ","")&amp;IF(AND(B68="Empty",OR(F68&lt;&gt;"",K68&lt;&gt;"")),"empty tray with parts; ","")&amp;IF(AND(B68="Loaded",K68&lt;&gt;""),"second part: type Mixed; ","")&amp;IF(AND(Q68&lt;&gt;"",N(Q68)&gt;1),"over 100 % of the spec load; ","")&amp;IF(N(R68)&gt;Settings!$B$10,"over the tray maximum (kg); ","")&amp;IF(AND(K68&lt;&gt;"",IFERROR(INDEX(Parts!$C$6:$C$45,MATCH(K68,Parts!$A$6:$A$45,0)),O68)&lt;&gt;O68),"different processes in one tray; ","")&amp;IF(AND(S68&lt;&gt;"",T68=""),"rework reason missing; ",""))</f>
        <v/>
      </c>
    </row>
    <row r="69" customFormat="false" ht="15" hidden="false" customHeight="false" outlineLevel="0" collapsed="false">
      <c r="A69" s="18" t="str">
        <f aca="false">IF(B69="","",COUNTA(B$7:B69))</f>
        <v/>
      </c>
      <c r="B69" s="19"/>
      <c r="C69" s="20"/>
      <c r="D69" s="19" t="str">
        <f aca="false">IF(B69="","",IF(D68="",Report!$B$12,D68))</f>
        <v/>
      </c>
      <c r="E69" s="22" t="str">
        <f aca="false">IF(B69="","",IF(C69&lt;&gt;"",C69,E68+D68/1440+SUMIFS(Holds!$F$7:$F$46,Holds!$B$7:$B$46,"&gt;="&amp;E68,Holds!$B$7:$B$46,"&lt;"&amp;E68+D68/1440)/1440))</f>
        <v/>
      </c>
      <c r="F69" s="19"/>
      <c r="G69" s="19"/>
      <c r="H69" s="19"/>
      <c r="I69" s="19"/>
      <c r="J69" s="19"/>
      <c r="K69" s="19"/>
      <c r="L69" s="19"/>
      <c r="M69" s="19"/>
      <c r="N69" s="19"/>
      <c r="O69" s="18" t="str">
        <f aca="false">IF(F69="","",IFERROR(INDEX(Parts!$C$6:$C$45,MATCH(F69,Parts!$A$6:$A$45,0)),""))</f>
        <v/>
      </c>
      <c r="P69" s="18" t="str">
        <f aca="false">IF(F69="","",IFERROR(INDEX(Parts!$E$6:$E$45,MATCH(F69,Parts!$A$6:$A$45,0)),""))</f>
        <v/>
      </c>
      <c r="Q69" s="23" t="str">
        <f aca="false">IF(OR(J69="",P69="",P69=0),"",J69/P69+IF(OR(N69="",K69=""),0,IFERROR(N69/INDEX(Parts!$E$6:$E$45,MATCH(K69,Parts!$A$6:$A$45,0)),0)))</f>
        <v/>
      </c>
      <c r="R69" s="24" t="str">
        <f aca="false">IF(B69="","",IF(J69="",0,J69*IFERROR(INDEX(Parts!$F$6:$F$45,MATCH(F69,Parts!$A$6:$A$45,0)),0))+IF(N69="",0,N69*IFERROR(INDEX(Parts!$F$6:$F$45,MATCH(K69,Parts!$A$6:$A$45,0)),0)))</f>
        <v/>
      </c>
      <c r="S69" s="19"/>
      <c r="T69" s="19"/>
      <c r="U69" s="18" t="str">
        <f aca="false">IF(B69="","",IF(F69="",Settings!$B$9,IFERROR(INDEX(Parts!$H$6:$H$45,MATCH(F69,Parts!$A$6:$A$45,0))+0,Settings!$B$9)))</f>
        <v/>
      </c>
      <c r="V69" s="22" t="str">
        <f aca="false">IF(B69="","",IF(INDEX($E$7:$E$336,ROW()-6+Settings!$B$7)&lt;&gt;"",INDEX($E$7:$E$336,ROW()-6+Settings!$B$7),E69+Settings!$B$7*D69/1440))</f>
        <v/>
      </c>
      <c r="W69" s="22" t="str">
        <f aca="false">IF(B69="","",IF(INDEX($E$7:$E$336,ROW()-6+Settings!$B$7+Settings!$B$8)&lt;&gt;"",INDEX($E$7:$E$336,ROW()-6+Settings!$B$7+Settings!$B$8),E69+(Settings!$B$7+Settings!$B$8)*D69/1440)+U69/1440)</f>
        <v/>
      </c>
      <c r="X69" s="18" t="str">
        <f aca="false">IF(B69="","",IF(INDEX($E$7:$E$336,ROW()-6+Settings!$B$7+Settings!$B$8)&lt;&gt;"","line","estimate"))</f>
        <v/>
      </c>
      <c r="Y69" s="25" t="str">
        <f aca="false">IF(B69="","",INT(W69-Settings!$B$6))</f>
        <v/>
      </c>
      <c r="Z69" s="19"/>
      <c r="AA69" s="18" t="str">
        <f aca="false">IF(B69="","",IF(AND(B69&lt;&gt;"Empty",F69=""),"part missing; ","")&amp;IF(AND(F69&lt;&gt;"",J69=""),"pieces missing; ","")&amp;IF(AND(F69&lt;&gt;"",O69=""),"part not on the Parts sheet; ","")&amp;IF(AND(B69="Empty",OR(F69&lt;&gt;"",K69&lt;&gt;"")),"empty tray with parts; ","")&amp;IF(AND(B69="Loaded",K69&lt;&gt;""),"second part: type Mixed; ","")&amp;IF(AND(Q69&lt;&gt;"",N(Q69)&gt;1),"over 100 % of the spec load; ","")&amp;IF(N(R69)&gt;Settings!$B$10,"over the tray maximum (kg); ","")&amp;IF(AND(K69&lt;&gt;"",IFERROR(INDEX(Parts!$C$6:$C$45,MATCH(K69,Parts!$A$6:$A$45,0)),O69)&lt;&gt;O69),"different processes in one tray; ","")&amp;IF(AND(S69&lt;&gt;"",T69=""),"rework reason missing; ",""))</f>
        <v/>
      </c>
    </row>
    <row r="70" customFormat="false" ht="15" hidden="false" customHeight="false" outlineLevel="0" collapsed="false">
      <c r="A70" s="18" t="str">
        <f aca="false">IF(B70="","",COUNTA(B$7:B70))</f>
        <v/>
      </c>
      <c r="B70" s="19"/>
      <c r="C70" s="20"/>
      <c r="D70" s="19" t="str">
        <f aca="false">IF(B70="","",IF(D69="",Report!$B$12,D69))</f>
        <v/>
      </c>
      <c r="E70" s="22" t="str">
        <f aca="false">IF(B70="","",IF(C70&lt;&gt;"",C70,E69+D69/1440+SUMIFS(Holds!$F$7:$F$46,Holds!$B$7:$B$46,"&gt;="&amp;E69,Holds!$B$7:$B$46,"&lt;"&amp;E69+D69/1440)/1440))</f>
        <v/>
      </c>
      <c r="F70" s="19"/>
      <c r="G70" s="19"/>
      <c r="H70" s="19"/>
      <c r="I70" s="19"/>
      <c r="J70" s="19"/>
      <c r="K70" s="19"/>
      <c r="L70" s="19"/>
      <c r="M70" s="19"/>
      <c r="N70" s="19"/>
      <c r="O70" s="18" t="str">
        <f aca="false">IF(F70="","",IFERROR(INDEX(Parts!$C$6:$C$45,MATCH(F70,Parts!$A$6:$A$45,0)),""))</f>
        <v/>
      </c>
      <c r="P70" s="18" t="str">
        <f aca="false">IF(F70="","",IFERROR(INDEX(Parts!$E$6:$E$45,MATCH(F70,Parts!$A$6:$A$45,0)),""))</f>
        <v/>
      </c>
      <c r="Q70" s="23" t="str">
        <f aca="false">IF(OR(J70="",P70="",P70=0),"",J70/P70+IF(OR(N70="",K70=""),0,IFERROR(N70/INDEX(Parts!$E$6:$E$45,MATCH(K70,Parts!$A$6:$A$45,0)),0)))</f>
        <v/>
      </c>
      <c r="R70" s="24" t="str">
        <f aca="false">IF(B70="","",IF(J70="",0,J70*IFERROR(INDEX(Parts!$F$6:$F$45,MATCH(F70,Parts!$A$6:$A$45,0)),0))+IF(N70="",0,N70*IFERROR(INDEX(Parts!$F$6:$F$45,MATCH(K70,Parts!$A$6:$A$45,0)),0)))</f>
        <v/>
      </c>
      <c r="S70" s="19"/>
      <c r="T70" s="19"/>
      <c r="U70" s="18" t="str">
        <f aca="false">IF(B70="","",IF(F70="",Settings!$B$9,IFERROR(INDEX(Parts!$H$6:$H$45,MATCH(F70,Parts!$A$6:$A$45,0))+0,Settings!$B$9)))</f>
        <v/>
      </c>
      <c r="V70" s="22" t="str">
        <f aca="false">IF(B70="","",IF(INDEX($E$7:$E$336,ROW()-6+Settings!$B$7)&lt;&gt;"",INDEX($E$7:$E$336,ROW()-6+Settings!$B$7),E70+Settings!$B$7*D70/1440))</f>
        <v/>
      </c>
      <c r="W70" s="22" t="str">
        <f aca="false">IF(B70="","",IF(INDEX($E$7:$E$336,ROW()-6+Settings!$B$7+Settings!$B$8)&lt;&gt;"",INDEX($E$7:$E$336,ROW()-6+Settings!$B$7+Settings!$B$8),E70+(Settings!$B$7+Settings!$B$8)*D70/1440)+U70/1440)</f>
        <v/>
      </c>
      <c r="X70" s="18" t="str">
        <f aca="false">IF(B70="","",IF(INDEX($E$7:$E$336,ROW()-6+Settings!$B$7+Settings!$B$8)&lt;&gt;"","line","estimate"))</f>
        <v/>
      </c>
      <c r="Y70" s="25" t="str">
        <f aca="false">IF(B70="","",INT(W70-Settings!$B$6))</f>
        <v/>
      </c>
      <c r="Z70" s="19"/>
      <c r="AA70" s="18" t="str">
        <f aca="false">IF(B70="","",IF(AND(B70&lt;&gt;"Empty",F70=""),"part missing; ","")&amp;IF(AND(F70&lt;&gt;"",J70=""),"pieces missing; ","")&amp;IF(AND(F70&lt;&gt;"",O70=""),"part not on the Parts sheet; ","")&amp;IF(AND(B70="Empty",OR(F70&lt;&gt;"",K70&lt;&gt;"")),"empty tray with parts; ","")&amp;IF(AND(B70="Loaded",K70&lt;&gt;""),"second part: type Mixed; ","")&amp;IF(AND(Q70&lt;&gt;"",N(Q70)&gt;1),"over 100 % of the spec load; ","")&amp;IF(N(R70)&gt;Settings!$B$10,"over the tray maximum (kg); ","")&amp;IF(AND(K70&lt;&gt;"",IFERROR(INDEX(Parts!$C$6:$C$45,MATCH(K70,Parts!$A$6:$A$45,0)),O70)&lt;&gt;O70),"different processes in one tray; ","")&amp;IF(AND(S70&lt;&gt;"",T70=""),"rework reason missing; ",""))</f>
        <v/>
      </c>
    </row>
    <row r="71" customFormat="false" ht="15" hidden="false" customHeight="false" outlineLevel="0" collapsed="false">
      <c r="A71" s="18" t="str">
        <f aca="false">IF(B71="","",COUNTA(B$7:B71))</f>
        <v/>
      </c>
      <c r="B71" s="19"/>
      <c r="C71" s="20"/>
      <c r="D71" s="19" t="str">
        <f aca="false">IF(B71="","",IF(D70="",Report!$B$12,D70))</f>
        <v/>
      </c>
      <c r="E71" s="22" t="str">
        <f aca="false">IF(B71="","",IF(C71&lt;&gt;"",C71,E70+D70/1440+SUMIFS(Holds!$F$7:$F$46,Holds!$B$7:$B$46,"&gt;="&amp;E70,Holds!$B$7:$B$46,"&lt;"&amp;E70+D70/1440)/1440))</f>
        <v/>
      </c>
      <c r="F71" s="19"/>
      <c r="G71" s="19"/>
      <c r="H71" s="19"/>
      <c r="I71" s="19"/>
      <c r="J71" s="19"/>
      <c r="K71" s="19"/>
      <c r="L71" s="19"/>
      <c r="M71" s="19"/>
      <c r="N71" s="19"/>
      <c r="O71" s="18" t="str">
        <f aca="false">IF(F71="","",IFERROR(INDEX(Parts!$C$6:$C$45,MATCH(F71,Parts!$A$6:$A$45,0)),""))</f>
        <v/>
      </c>
      <c r="P71" s="18" t="str">
        <f aca="false">IF(F71="","",IFERROR(INDEX(Parts!$E$6:$E$45,MATCH(F71,Parts!$A$6:$A$45,0)),""))</f>
        <v/>
      </c>
      <c r="Q71" s="23" t="str">
        <f aca="false">IF(OR(J71="",P71="",P71=0),"",J71/P71+IF(OR(N71="",K71=""),0,IFERROR(N71/INDEX(Parts!$E$6:$E$45,MATCH(K71,Parts!$A$6:$A$45,0)),0)))</f>
        <v/>
      </c>
      <c r="R71" s="24" t="str">
        <f aca="false">IF(B71="","",IF(J71="",0,J71*IFERROR(INDEX(Parts!$F$6:$F$45,MATCH(F71,Parts!$A$6:$A$45,0)),0))+IF(N71="",0,N71*IFERROR(INDEX(Parts!$F$6:$F$45,MATCH(K71,Parts!$A$6:$A$45,0)),0)))</f>
        <v/>
      </c>
      <c r="S71" s="19"/>
      <c r="T71" s="19"/>
      <c r="U71" s="18" t="str">
        <f aca="false">IF(B71="","",IF(F71="",Settings!$B$9,IFERROR(INDEX(Parts!$H$6:$H$45,MATCH(F71,Parts!$A$6:$A$45,0))+0,Settings!$B$9)))</f>
        <v/>
      </c>
      <c r="V71" s="22" t="str">
        <f aca="false">IF(B71="","",IF(INDEX($E$7:$E$336,ROW()-6+Settings!$B$7)&lt;&gt;"",INDEX($E$7:$E$336,ROW()-6+Settings!$B$7),E71+Settings!$B$7*D71/1440))</f>
        <v/>
      </c>
      <c r="W71" s="22" t="str">
        <f aca="false">IF(B71="","",IF(INDEX($E$7:$E$336,ROW()-6+Settings!$B$7+Settings!$B$8)&lt;&gt;"",INDEX($E$7:$E$336,ROW()-6+Settings!$B$7+Settings!$B$8),E71+(Settings!$B$7+Settings!$B$8)*D71/1440)+U71/1440)</f>
        <v/>
      </c>
      <c r="X71" s="18" t="str">
        <f aca="false">IF(B71="","",IF(INDEX($E$7:$E$336,ROW()-6+Settings!$B$7+Settings!$B$8)&lt;&gt;"","line","estimate"))</f>
        <v/>
      </c>
      <c r="Y71" s="25" t="str">
        <f aca="false">IF(B71="","",INT(W71-Settings!$B$6))</f>
        <v/>
      </c>
      <c r="Z71" s="19"/>
      <c r="AA71" s="18" t="str">
        <f aca="false">IF(B71="","",IF(AND(B71&lt;&gt;"Empty",F71=""),"part missing; ","")&amp;IF(AND(F71&lt;&gt;"",J71=""),"pieces missing; ","")&amp;IF(AND(F71&lt;&gt;"",O71=""),"part not on the Parts sheet; ","")&amp;IF(AND(B71="Empty",OR(F71&lt;&gt;"",K71&lt;&gt;"")),"empty tray with parts; ","")&amp;IF(AND(B71="Loaded",K71&lt;&gt;""),"second part: type Mixed; ","")&amp;IF(AND(Q71&lt;&gt;"",N(Q71)&gt;1),"over 100 % of the spec load; ","")&amp;IF(N(R71)&gt;Settings!$B$10,"over the tray maximum (kg); ","")&amp;IF(AND(K71&lt;&gt;"",IFERROR(INDEX(Parts!$C$6:$C$45,MATCH(K71,Parts!$A$6:$A$45,0)),O71)&lt;&gt;O71),"different processes in one tray; ","")&amp;IF(AND(S71&lt;&gt;"",T71=""),"rework reason missing; ",""))</f>
        <v/>
      </c>
    </row>
    <row r="72" customFormat="false" ht="15" hidden="false" customHeight="false" outlineLevel="0" collapsed="false">
      <c r="A72" s="18" t="str">
        <f aca="false">IF(B72="","",COUNTA(B$7:B72))</f>
        <v/>
      </c>
      <c r="B72" s="19"/>
      <c r="C72" s="20"/>
      <c r="D72" s="19" t="str">
        <f aca="false">IF(B72="","",IF(D71="",Report!$B$12,D71))</f>
        <v/>
      </c>
      <c r="E72" s="22" t="str">
        <f aca="false">IF(B72="","",IF(C72&lt;&gt;"",C72,E71+D71/1440+SUMIFS(Holds!$F$7:$F$46,Holds!$B$7:$B$46,"&gt;="&amp;E71,Holds!$B$7:$B$46,"&lt;"&amp;E71+D71/1440)/1440))</f>
        <v/>
      </c>
      <c r="F72" s="19"/>
      <c r="G72" s="19"/>
      <c r="H72" s="19"/>
      <c r="I72" s="19"/>
      <c r="J72" s="19"/>
      <c r="K72" s="19"/>
      <c r="L72" s="19"/>
      <c r="M72" s="19"/>
      <c r="N72" s="19"/>
      <c r="O72" s="18" t="str">
        <f aca="false">IF(F72="","",IFERROR(INDEX(Parts!$C$6:$C$45,MATCH(F72,Parts!$A$6:$A$45,0)),""))</f>
        <v/>
      </c>
      <c r="P72" s="18" t="str">
        <f aca="false">IF(F72="","",IFERROR(INDEX(Parts!$E$6:$E$45,MATCH(F72,Parts!$A$6:$A$45,0)),""))</f>
        <v/>
      </c>
      <c r="Q72" s="23" t="str">
        <f aca="false">IF(OR(J72="",P72="",P72=0),"",J72/P72+IF(OR(N72="",K72=""),0,IFERROR(N72/INDEX(Parts!$E$6:$E$45,MATCH(K72,Parts!$A$6:$A$45,0)),0)))</f>
        <v/>
      </c>
      <c r="R72" s="24" t="str">
        <f aca="false">IF(B72="","",IF(J72="",0,J72*IFERROR(INDEX(Parts!$F$6:$F$45,MATCH(F72,Parts!$A$6:$A$45,0)),0))+IF(N72="",0,N72*IFERROR(INDEX(Parts!$F$6:$F$45,MATCH(K72,Parts!$A$6:$A$45,0)),0)))</f>
        <v/>
      </c>
      <c r="S72" s="19"/>
      <c r="T72" s="19"/>
      <c r="U72" s="18" t="str">
        <f aca="false">IF(B72="","",IF(F72="",Settings!$B$9,IFERROR(INDEX(Parts!$H$6:$H$45,MATCH(F72,Parts!$A$6:$A$45,0))+0,Settings!$B$9)))</f>
        <v/>
      </c>
      <c r="V72" s="22" t="str">
        <f aca="false">IF(B72="","",IF(INDEX($E$7:$E$336,ROW()-6+Settings!$B$7)&lt;&gt;"",INDEX($E$7:$E$336,ROW()-6+Settings!$B$7),E72+Settings!$B$7*D72/1440))</f>
        <v/>
      </c>
      <c r="W72" s="22" t="str">
        <f aca="false">IF(B72="","",IF(INDEX($E$7:$E$336,ROW()-6+Settings!$B$7+Settings!$B$8)&lt;&gt;"",INDEX($E$7:$E$336,ROW()-6+Settings!$B$7+Settings!$B$8),E72+(Settings!$B$7+Settings!$B$8)*D72/1440)+U72/1440)</f>
        <v/>
      </c>
      <c r="X72" s="18" t="str">
        <f aca="false">IF(B72="","",IF(INDEX($E$7:$E$336,ROW()-6+Settings!$B$7+Settings!$B$8)&lt;&gt;"","line","estimate"))</f>
        <v/>
      </c>
      <c r="Y72" s="25" t="str">
        <f aca="false">IF(B72="","",INT(W72-Settings!$B$6))</f>
        <v/>
      </c>
      <c r="Z72" s="19"/>
      <c r="AA72" s="18" t="str">
        <f aca="false">IF(B72="","",IF(AND(B72&lt;&gt;"Empty",F72=""),"part missing; ","")&amp;IF(AND(F72&lt;&gt;"",J72=""),"pieces missing; ","")&amp;IF(AND(F72&lt;&gt;"",O72=""),"part not on the Parts sheet; ","")&amp;IF(AND(B72="Empty",OR(F72&lt;&gt;"",K72&lt;&gt;"")),"empty tray with parts; ","")&amp;IF(AND(B72="Loaded",K72&lt;&gt;""),"second part: type Mixed; ","")&amp;IF(AND(Q72&lt;&gt;"",N(Q72)&gt;1),"over 100 % of the spec load; ","")&amp;IF(N(R72)&gt;Settings!$B$10,"over the tray maximum (kg); ","")&amp;IF(AND(K72&lt;&gt;"",IFERROR(INDEX(Parts!$C$6:$C$45,MATCH(K72,Parts!$A$6:$A$45,0)),O72)&lt;&gt;O72),"different processes in one tray; ","")&amp;IF(AND(S72&lt;&gt;"",T72=""),"rework reason missing; ",""))</f>
        <v/>
      </c>
    </row>
    <row r="73" customFormat="false" ht="15" hidden="false" customHeight="false" outlineLevel="0" collapsed="false">
      <c r="A73" s="18" t="str">
        <f aca="false">IF(B73="","",COUNTA(B$7:B73))</f>
        <v/>
      </c>
      <c r="B73" s="19"/>
      <c r="C73" s="20"/>
      <c r="D73" s="19" t="str">
        <f aca="false">IF(B73="","",IF(D72="",Report!$B$12,D72))</f>
        <v/>
      </c>
      <c r="E73" s="22" t="str">
        <f aca="false">IF(B73="","",IF(C73&lt;&gt;"",C73,E72+D72/1440+SUMIFS(Holds!$F$7:$F$46,Holds!$B$7:$B$46,"&gt;="&amp;E72,Holds!$B$7:$B$46,"&lt;"&amp;E72+D72/1440)/1440))</f>
        <v/>
      </c>
      <c r="F73" s="19"/>
      <c r="G73" s="19"/>
      <c r="H73" s="19"/>
      <c r="I73" s="19"/>
      <c r="J73" s="19"/>
      <c r="K73" s="19"/>
      <c r="L73" s="19"/>
      <c r="M73" s="19"/>
      <c r="N73" s="19"/>
      <c r="O73" s="18" t="str">
        <f aca="false">IF(F73="","",IFERROR(INDEX(Parts!$C$6:$C$45,MATCH(F73,Parts!$A$6:$A$45,0)),""))</f>
        <v/>
      </c>
      <c r="P73" s="18" t="str">
        <f aca="false">IF(F73="","",IFERROR(INDEX(Parts!$E$6:$E$45,MATCH(F73,Parts!$A$6:$A$45,0)),""))</f>
        <v/>
      </c>
      <c r="Q73" s="23" t="str">
        <f aca="false">IF(OR(J73="",P73="",P73=0),"",J73/P73+IF(OR(N73="",K73=""),0,IFERROR(N73/INDEX(Parts!$E$6:$E$45,MATCH(K73,Parts!$A$6:$A$45,0)),0)))</f>
        <v/>
      </c>
      <c r="R73" s="24" t="str">
        <f aca="false">IF(B73="","",IF(J73="",0,J73*IFERROR(INDEX(Parts!$F$6:$F$45,MATCH(F73,Parts!$A$6:$A$45,0)),0))+IF(N73="",0,N73*IFERROR(INDEX(Parts!$F$6:$F$45,MATCH(K73,Parts!$A$6:$A$45,0)),0)))</f>
        <v/>
      </c>
      <c r="S73" s="19"/>
      <c r="T73" s="19"/>
      <c r="U73" s="18" t="str">
        <f aca="false">IF(B73="","",IF(F73="",Settings!$B$9,IFERROR(INDEX(Parts!$H$6:$H$45,MATCH(F73,Parts!$A$6:$A$45,0))+0,Settings!$B$9)))</f>
        <v/>
      </c>
      <c r="V73" s="22" t="str">
        <f aca="false">IF(B73="","",IF(INDEX($E$7:$E$336,ROW()-6+Settings!$B$7)&lt;&gt;"",INDEX($E$7:$E$336,ROW()-6+Settings!$B$7),E73+Settings!$B$7*D73/1440))</f>
        <v/>
      </c>
      <c r="W73" s="22" t="str">
        <f aca="false">IF(B73="","",IF(INDEX($E$7:$E$336,ROW()-6+Settings!$B$7+Settings!$B$8)&lt;&gt;"",INDEX($E$7:$E$336,ROW()-6+Settings!$B$7+Settings!$B$8),E73+(Settings!$B$7+Settings!$B$8)*D73/1440)+U73/1440)</f>
        <v/>
      </c>
      <c r="X73" s="18" t="str">
        <f aca="false">IF(B73="","",IF(INDEX($E$7:$E$336,ROW()-6+Settings!$B$7+Settings!$B$8)&lt;&gt;"","line","estimate"))</f>
        <v/>
      </c>
      <c r="Y73" s="25" t="str">
        <f aca="false">IF(B73="","",INT(W73-Settings!$B$6))</f>
        <v/>
      </c>
      <c r="Z73" s="19"/>
      <c r="AA73" s="18" t="str">
        <f aca="false">IF(B73="","",IF(AND(B73&lt;&gt;"Empty",F73=""),"part missing; ","")&amp;IF(AND(F73&lt;&gt;"",J73=""),"pieces missing; ","")&amp;IF(AND(F73&lt;&gt;"",O73=""),"part not on the Parts sheet; ","")&amp;IF(AND(B73="Empty",OR(F73&lt;&gt;"",K73&lt;&gt;"")),"empty tray with parts; ","")&amp;IF(AND(B73="Loaded",K73&lt;&gt;""),"second part: type Mixed; ","")&amp;IF(AND(Q73&lt;&gt;"",N(Q73)&gt;1),"over 100 % of the spec load; ","")&amp;IF(N(R73)&gt;Settings!$B$10,"over the tray maximum (kg); ","")&amp;IF(AND(K73&lt;&gt;"",IFERROR(INDEX(Parts!$C$6:$C$45,MATCH(K73,Parts!$A$6:$A$45,0)),O73)&lt;&gt;O73),"different processes in one tray; ","")&amp;IF(AND(S73&lt;&gt;"",T73=""),"rework reason missing; ",""))</f>
        <v/>
      </c>
    </row>
    <row r="74" customFormat="false" ht="15" hidden="false" customHeight="false" outlineLevel="0" collapsed="false">
      <c r="A74" s="18" t="str">
        <f aca="false">IF(B74="","",COUNTA(B$7:B74))</f>
        <v/>
      </c>
      <c r="B74" s="19"/>
      <c r="C74" s="20"/>
      <c r="D74" s="19" t="str">
        <f aca="false">IF(B74="","",IF(D73="",Report!$B$12,D73))</f>
        <v/>
      </c>
      <c r="E74" s="22" t="str">
        <f aca="false">IF(B74="","",IF(C74&lt;&gt;"",C74,E73+D73/1440+SUMIFS(Holds!$F$7:$F$46,Holds!$B$7:$B$46,"&gt;="&amp;E73,Holds!$B$7:$B$46,"&lt;"&amp;E73+D73/1440)/1440))</f>
        <v/>
      </c>
      <c r="F74" s="19"/>
      <c r="G74" s="19"/>
      <c r="H74" s="19"/>
      <c r="I74" s="19"/>
      <c r="J74" s="19"/>
      <c r="K74" s="19"/>
      <c r="L74" s="19"/>
      <c r="M74" s="19"/>
      <c r="N74" s="19"/>
      <c r="O74" s="18" t="str">
        <f aca="false">IF(F74="","",IFERROR(INDEX(Parts!$C$6:$C$45,MATCH(F74,Parts!$A$6:$A$45,0)),""))</f>
        <v/>
      </c>
      <c r="P74" s="18" t="str">
        <f aca="false">IF(F74="","",IFERROR(INDEX(Parts!$E$6:$E$45,MATCH(F74,Parts!$A$6:$A$45,0)),""))</f>
        <v/>
      </c>
      <c r="Q74" s="23" t="str">
        <f aca="false">IF(OR(J74="",P74="",P74=0),"",J74/P74+IF(OR(N74="",K74=""),0,IFERROR(N74/INDEX(Parts!$E$6:$E$45,MATCH(K74,Parts!$A$6:$A$45,0)),0)))</f>
        <v/>
      </c>
      <c r="R74" s="24" t="str">
        <f aca="false">IF(B74="","",IF(J74="",0,J74*IFERROR(INDEX(Parts!$F$6:$F$45,MATCH(F74,Parts!$A$6:$A$45,0)),0))+IF(N74="",0,N74*IFERROR(INDEX(Parts!$F$6:$F$45,MATCH(K74,Parts!$A$6:$A$45,0)),0)))</f>
        <v/>
      </c>
      <c r="S74" s="19"/>
      <c r="T74" s="19"/>
      <c r="U74" s="18" t="str">
        <f aca="false">IF(B74="","",IF(F74="",Settings!$B$9,IFERROR(INDEX(Parts!$H$6:$H$45,MATCH(F74,Parts!$A$6:$A$45,0))+0,Settings!$B$9)))</f>
        <v/>
      </c>
      <c r="V74" s="22" t="str">
        <f aca="false">IF(B74="","",IF(INDEX($E$7:$E$336,ROW()-6+Settings!$B$7)&lt;&gt;"",INDEX($E$7:$E$336,ROW()-6+Settings!$B$7),E74+Settings!$B$7*D74/1440))</f>
        <v/>
      </c>
      <c r="W74" s="22" t="str">
        <f aca="false">IF(B74="","",IF(INDEX($E$7:$E$336,ROW()-6+Settings!$B$7+Settings!$B$8)&lt;&gt;"",INDEX($E$7:$E$336,ROW()-6+Settings!$B$7+Settings!$B$8),E74+(Settings!$B$7+Settings!$B$8)*D74/1440)+U74/1440)</f>
        <v/>
      </c>
      <c r="X74" s="18" t="str">
        <f aca="false">IF(B74="","",IF(INDEX($E$7:$E$336,ROW()-6+Settings!$B$7+Settings!$B$8)&lt;&gt;"","line","estimate"))</f>
        <v/>
      </c>
      <c r="Y74" s="25" t="str">
        <f aca="false">IF(B74="","",INT(W74-Settings!$B$6))</f>
        <v/>
      </c>
      <c r="Z74" s="19"/>
      <c r="AA74" s="18" t="str">
        <f aca="false">IF(B74="","",IF(AND(B74&lt;&gt;"Empty",F74=""),"part missing; ","")&amp;IF(AND(F74&lt;&gt;"",J74=""),"pieces missing; ","")&amp;IF(AND(F74&lt;&gt;"",O74=""),"part not on the Parts sheet; ","")&amp;IF(AND(B74="Empty",OR(F74&lt;&gt;"",K74&lt;&gt;"")),"empty tray with parts; ","")&amp;IF(AND(B74="Loaded",K74&lt;&gt;""),"second part: type Mixed; ","")&amp;IF(AND(Q74&lt;&gt;"",N(Q74)&gt;1),"over 100 % of the spec load; ","")&amp;IF(N(R74)&gt;Settings!$B$10,"over the tray maximum (kg); ","")&amp;IF(AND(K74&lt;&gt;"",IFERROR(INDEX(Parts!$C$6:$C$45,MATCH(K74,Parts!$A$6:$A$45,0)),O74)&lt;&gt;O74),"different processes in one tray; ","")&amp;IF(AND(S74&lt;&gt;"",T74=""),"rework reason missing; ",""))</f>
        <v/>
      </c>
    </row>
    <row r="75" customFormat="false" ht="15" hidden="false" customHeight="false" outlineLevel="0" collapsed="false">
      <c r="A75" s="18" t="str">
        <f aca="false">IF(B75="","",COUNTA(B$7:B75))</f>
        <v/>
      </c>
      <c r="B75" s="19"/>
      <c r="C75" s="20"/>
      <c r="D75" s="19" t="str">
        <f aca="false">IF(B75="","",IF(D74="",Report!$B$12,D74))</f>
        <v/>
      </c>
      <c r="E75" s="22" t="str">
        <f aca="false">IF(B75="","",IF(C75&lt;&gt;"",C75,E74+D74/1440+SUMIFS(Holds!$F$7:$F$46,Holds!$B$7:$B$46,"&gt;="&amp;E74,Holds!$B$7:$B$46,"&lt;"&amp;E74+D74/1440)/1440))</f>
        <v/>
      </c>
      <c r="F75" s="19"/>
      <c r="G75" s="19"/>
      <c r="H75" s="19"/>
      <c r="I75" s="19"/>
      <c r="J75" s="19"/>
      <c r="K75" s="19"/>
      <c r="L75" s="19"/>
      <c r="M75" s="19"/>
      <c r="N75" s="19"/>
      <c r="O75" s="18" t="str">
        <f aca="false">IF(F75="","",IFERROR(INDEX(Parts!$C$6:$C$45,MATCH(F75,Parts!$A$6:$A$45,0)),""))</f>
        <v/>
      </c>
      <c r="P75" s="18" t="str">
        <f aca="false">IF(F75="","",IFERROR(INDEX(Parts!$E$6:$E$45,MATCH(F75,Parts!$A$6:$A$45,0)),""))</f>
        <v/>
      </c>
      <c r="Q75" s="23" t="str">
        <f aca="false">IF(OR(J75="",P75="",P75=0),"",J75/P75+IF(OR(N75="",K75=""),0,IFERROR(N75/INDEX(Parts!$E$6:$E$45,MATCH(K75,Parts!$A$6:$A$45,0)),0)))</f>
        <v/>
      </c>
      <c r="R75" s="24" t="str">
        <f aca="false">IF(B75="","",IF(J75="",0,J75*IFERROR(INDEX(Parts!$F$6:$F$45,MATCH(F75,Parts!$A$6:$A$45,0)),0))+IF(N75="",0,N75*IFERROR(INDEX(Parts!$F$6:$F$45,MATCH(K75,Parts!$A$6:$A$45,0)),0)))</f>
        <v/>
      </c>
      <c r="S75" s="19"/>
      <c r="T75" s="19"/>
      <c r="U75" s="18" t="str">
        <f aca="false">IF(B75="","",IF(F75="",Settings!$B$9,IFERROR(INDEX(Parts!$H$6:$H$45,MATCH(F75,Parts!$A$6:$A$45,0))+0,Settings!$B$9)))</f>
        <v/>
      </c>
      <c r="V75" s="22" t="str">
        <f aca="false">IF(B75="","",IF(INDEX($E$7:$E$336,ROW()-6+Settings!$B$7)&lt;&gt;"",INDEX($E$7:$E$336,ROW()-6+Settings!$B$7),E75+Settings!$B$7*D75/1440))</f>
        <v/>
      </c>
      <c r="W75" s="22" t="str">
        <f aca="false">IF(B75="","",IF(INDEX($E$7:$E$336,ROW()-6+Settings!$B$7+Settings!$B$8)&lt;&gt;"",INDEX($E$7:$E$336,ROW()-6+Settings!$B$7+Settings!$B$8),E75+(Settings!$B$7+Settings!$B$8)*D75/1440)+U75/1440)</f>
        <v/>
      </c>
      <c r="X75" s="18" t="str">
        <f aca="false">IF(B75="","",IF(INDEX($E$7:$E$336,ROW()-6+Settings!$B$7+Settings!$B$8)&lt;&gt;"","line","estimate"))</f>
        <v/>
      </c>
      <c r="Y75" s="25" t="str">
        <f aca="false">IF(B75="","",INT(W75-Settings!$B$6))</f>
        <v/>
      </c>
      <c r="Z75" s="19"/>
      <c r="AA75" s="18" t="str">
        <f aca="false">IF(B75="","",IF(AND(B75&lt;&gt;"Empty",F75=""),"part missing; ","")&amp;IF(AND(F75&lt;&gt;"",J75=""),"pieces missing; ","")&amp;IF(AND(F75&lt;&gt;"",O75=""),"part not on the Parts sheet; ","")&amp;IF(AND(B75="Empty",OR(F75&lt;&gt;"",K75&lt;&gt;"")),"empty tray with parts; ","")&amp;IF(AND(B75="Loaded",K75&lt;&gt;""),"second part: type Mixed; ","")&amp;IF(AND(Q75&lt;&gt;"",N(Q75)&gt;1),"over 100 % of the spec load; ","")&amp;IF(N(R75)&gt;Settings!$B$10,"over the tray maximum (kg); ","")&amp;IF(AND(K75&lt;&gt;"",IFERROR(INDEX(Parts!$C$6:$C$45,MATCH(K75,Parts!$A$6:$A$45,0)),O75)&lt;&gt;O75),"different processes in one tray; ","")&amp;IF(AND(S75&lt;&gt;"",T75=""),"rework reason missing; ",""))</f>
        <v/>
      </c>
    </row>
    <row r="76" customFormat="false" ht="15" hidden="false" customHeight="false" outlineLevel="0" collapsed="false">
      <c r="A76" s="18" t="str">
        <f aca="false">IF(B76="","",COUNTA(B$7:B76))</f>
        <v/>
      </c>
      <c r="B76" s="19"/>
      <c r="C76" s="20"/>
      <c r="D76" s="19" t="str">
        <f aca="false">IF(B76="","",IF(D75="",Report!$B$12,D75))</f>
        <v/>
      </c>
      <c r="E76" s="22" t="str">
        <f aca="false">IF(B76="","",IF(C76&lt;&gt;"",C76,E75+D75/1440+SUMIFS(Holds!$F$7:$F$46,Holds!$B$7:$B$46,"&gt;="&amp;E75,Holds!$B$7:$B$46,"&lt;"&amp;E75+D75/1440)/1440))</f>
        <v/>
      </c>
      <c r="F76" s="19"/>
      <c r="G76" s="19"/>
      <c r="H76" s="19"/>
      <c r="I76" s="19"/>
      <c r="J76" s="19"/>
      <c r="K76" s="19"/>
      <c r="L76" s="19"/>
      <c r="M76" s="19"/>
      <c r="N76" s="19"/>
      <c r="O76" s="18" t="str">
        <f aca="false">IF(F76="","",IFERROR(INDEX(Parts!$C$6:$C$45,MATCH(F76,Parts!$A$6:$A$45,0)),""))</f>
        <v/>
      </c>
      <c r="P76" s="18" t="str">
        <f aca="false">IF(F76="","",IFERROR(INDEX(Parts!$E$6:$E$45,MATCH(F76,Parts!$A$6:$A$45,0)),""))</f>
        <v/>
      </c>
      <c r="Q76" s="23" t="str">
        <f aca="false">IF(OR(J76="",P76="",P76=0),"",J76/P76+IF(OR(N76="",K76=""),0,IFERROR(N76/INDEX(Parts!$E$6:$E$45,MATCH(K76,Parts!$A$6:$A$45,0)),0)))</f>
        <v/>
      </c>
      <c r="R76" s="24" t="str">
        <f aca="false">IF(B76="","",IF(J76="",0,J76*IFERROR(INDEX(Parts!$F$6:$F$45,MATCH(F76,Parts!$A$6:$A$45,0)),0))+IF(N76="",0,N76*IFERROR(INDEX(Parts!$F$6:$F$45,MATCH(K76,Parts!$A$6:$A$45,0)),0)))</f>
        <v/>
      </c>
      <c r="S76" s="19"/>
      <c r="T76" s="19"/>
      <c r="U76" s="18" t="str">
        <f aca="false">IF(B76="","",IF(F76="",Settings!$B$9,IFERROR(INDEX(Parts!$H$6:$H$45,MATCH(F76,Parts!$A$6:$A$45,0))+0,Settings!$B$9)))</f>
        <v/>
      </c>
      <c r="V76" s="22" t="str">
        <f aca="false">IF(B76="","",IF(INDEX($E$7:$E$336,ROW()-6+Settings!$B$7)&lt;&gt;"",INDEX($E$7:$E$336,ROW()-6+Settings!$B$7),E76+Settings!$B$7*D76/1440))</f>
        <v/>
      </c>
      <c r="W76" s="22" t="str">
        <f aca="false">IF(B76="","",IF(INDEX($E$7:$E$336,ROW()-6+Settings!$B$7+Settings!$B$8)&lt;&gt;"",INDEX($E$7:$E$336,ROW()-6+Settings!$B$7+Settings!$B$8),E76+(Settings!$B$7+Settings!$B$8)*D76/1440)+U76/1440)</f>
        <v/>
      </c>
      <c r="X76" s="18" t="str">
        <f aca="false">IF(B76="","",IF(INDEX($E$7:$E$336,ROW()-6+Settings!$B$7+Settings!$B$8)&lt;&gt;"","line","estimate"))</f>
        <v/>
      </c>
      <c r="Y76" s="25" t="str">
        <f aca="false">IF(B76="","",INT(W76-Settings!$B$6))</f>
        <v/>
      </c>
      <c r="Z76" s="19"/>
      <c r="AA76" s="18" t="str">
        <f aca="false">IF(B76="","",IF(AND(B76&lt;&gt;"Empty",F76=""),"part missing; ","")&amp;IF(AND(F76&lt;&gt;"",J76=""),"pieces missing; ","")&amp;IF(AND(F76&lt;&gt;"",O76=""),"part not on the Parts sheet; ","")&amp;IF(AND(B76="Empty",OR(F76&lt;&gt;"",K76&lt;&gt;"")),"empty tray with parts; ","")&amp;IF(AND(B76="Loaded",K76&lt;&gt;""),"second part: type Mixed; ","")&amp;IF(AND(Q76&lt;&gt;"",N(Q76)&gt;1),"over 100 % of the spec load; ","")&amp;IF(N(R76)&gt;Settings!$B$10,"over the tray maximum (kg); ","")&amp;IF(AND(K76&lt;&gt;"",IFERROR(INDEX(Parts!$C$6:$C$45,MATCH(K76,Parts!$A$6:$A$45,0)),O76)&lt;&gt;O76),"different processes in one tray; ","")&amp;IF(AND(S76&lt;&gt;"",T76=""),"rework reason missing; ",""))</f>
        <v/>
      </c>
    </row>
    <row r="77" customFormat="false" ht="15" hidden="false" customHeight="false" outlineLevel="0" collapsed="false">
      <c r="A77" s="18" t="str">
        <f aca="false">IF(B77="","",COUNTA(B$7:B77))</f>
        <v/>
      </c>
      <c r="B77" s="19"/>
      <c r="C77" s="20"/>
      <c r="D77" s="19" t="str">
        <f aca="false">IF(B77="","",IF(D76="",Report!$B$12,D76))</f>
        <v/>
      </c>
      <c r="E77" s="22" t="str">
        <f aca="false">IF(B77="","",IF(C77&lt;&gt;"",C77,E76+D76/1440+SUMIFS(Holds!$F$7:$F$46,Holds!$B$7:$B$46,"&gt;="&amp;E76,Holds!$B$7:$B$46,"&lt;"&amp;E76+D76/1440)/1440))</f>
        <v/>
      </c>
      <c r="F77" s="19"/>
      <c r="G77" s="19"/>
      <c r="H77" s="19"/>
      <c r="I77" s="19"/>
      <c r="J77" s="19"/>
      <c r="K77" s="19"/>
      <c r="L77" s="19"/>
      <c r="M77" s="19"/>
      <c r="N77" s="19"/>
      <c r="O77" s="18" t="str">
        <f aca="false">IF(F77="","",IFERROR(INDEX(Parts!$C$6:$C$45,MATCH(F77,Parts!$A$6:$A$45,0)),""))</f>
        <v/>
      </c>
      <c r="P77" s="18" t="str">
        <f aca="false">IF(F77="","",IFERROR(INDEX(Parts!$E$6:$E$45,MATCH(F77,Parts!$A$6:$A$45,0)),""))</f>
        <v/>
      </c>
      <c r="Q77" s="23" t="str">
        <f aca="false">IF(OR(J77="",P77="",P77=0),"",J77/P77+IF(OR(N77="",K77=""),0,IFERROR(N77/INDEX(Parts!$E$6:$E$45,MATCH(K77,Parts!$A$6:$A$45,0)),0)))</f>
        <v/>
      </c>
      <c r="R77" s="24" t="str">
        <f aca="false">IF(B77="","",IF(J77="",0,J77*IFERROR(INDEX(Parts!$F$6:$F$45,MATCH(F77,Parts!$A$6:$A$45,0)),0))+IF(N77="",0,N77*IFERROR(INDEX(Parts!$F$6:$F$45,MATCH(K77,Parts!$A$6:$A$45,0)),0)))</f>
        <v/>
      </c>
      <c r="S77" s="19"/>
      <c r="T77" s="19"/>
      <c r="U77" s="18" t="str">
        <f aca="false">IF(B77="","",IF(F77="",Settings!$B$9,IFERROR(INDEX(Parts!$H$6:$H$45,MATCH(F77,Parts!$A$6:$A$45,0))+0,Settings!$B$9)))</f>
        <v/>
      </c>
      <c r="V77" s="22" t="str">
        <f aca="false">IF(B77="","",IF(INDEX($E$7:$E$336,ROW()-6+Settings!$B$7)&lt;&gt;"",INDEX($E$7:$E$336,ROW()-6+Settings!$B$7),E77+Settings!$B$7*D77/1440))</f>
        <v/>
      </c>
      <c r="W77" s="22" t="str">
        <f aca="false">IF(B77="","",IF(INDEX($E$7:$E$336,ROW()-6+Settings!$B$7+Settings!$B$8)&lt;&gt;"",INDEX($E$7:$E$336,ROW()-6+Settings!$B$7+Settings!$B$8),E77+(Settings!$B$7+Settings!$B$8)*D77/1440)+U77/1440)</f>
        <v/>
      </c>
      <c r="X77" s="18" t="str">
        <f aca="false">IF(B77="","",IF(INDEX($E$7:$E$336,ROW()-6+Settings!$B$7+Settings!$B$8)&lt;&gt;"","line","estimate"))</f>
        <v/>
      </c>
      <c r="Y77" s="25" t="str">
        <f aca="false">IF(B77="","",INT(W77-Settings!$B$6))</f>
        <v/>
      </c>
      <c r="Z77" s="19"/>
      <c r="AA77" s="18" t="str">
        <f aca="false">IF(B77="","",IF(AND(B77&lt;&gt;"Empty",F77=""),"part missing; ","")&amp;IF(AND(F77&lt;&gt;"",J77=""),"pieces missing; ","")&amp;IF(AND(F77&lt;&gt;"",O77=""),"part not on the Parts sheet; ","")&amp;IF(AND(B77="Empty",OR(F77&lt;&gt;"",K77&lt;&gt;"")),"empty tray with parts; ","")&amp;IF(AND(B77="Loaded",K77&lt;&gt;""),"second part: type Mixed; ","")&amp;IF(AND(Q77&lt;&gt;"",N(Q77)&gt;1),"over 100 % of the spec load; ","")&amp;IF(N(R77)&gt;Settings!$B$10,"over the tray maximum (kg); ","")&amp;IF(AND(K77&lt;&gt;"",IFERROR(INDEX(Parts!$C$6:$C$45,MATCH(K77,Parts!$A$6:$A$45,0)),O77)&lt;&gt;O77),"different processes in one tray; ","")&amp;IF(AND(S77&lt;&gt;"",T77=""),"rework reason missing; ",""))</f>
        <v/>
      </c>
    </row>
    <row r="78" customFormat="false" ht="15" hidden="false" customHeight="false" outlineLevel="0" collapsed="false">
      <c r="A78" s="18" t="str">
        <f aca="false">IF(B78="","",COUNTA(B$7:B78))</f>
        <v/>
      </c>
      <c r="B78" s="19"/>
      <c r="C78" s="20"/>
      <c r="D78" s="19" t="str">
        <f aca="false">IF(B78="","",IF(D77="",Report!$B$12,D77))</f>
        <v/>
      </c>
      <c r="E78" s="22" t="str">
        <f aca="false">IF(B78="","",IF(C78&lt;&gt;"",C78,E77+D77/1440+SUMIFS(Holds!$F$7:$F$46,Holds!$B$7:$B$46,"&gt;="&amp;E77,Holds!$B$7:$B$46,"&lt;"&amp;E77+D77/1440)/1440))</f>
        <v/>
      </c>
      <c r="F78" s="19"/>
      <c r="G78" s="19"/>
      <c r="H78" s="19"/>
      <c r="I78" s="19"/>
      <c r="J78" s="19"/>
      <c r="K78" s="19"/>
      <c r="L78" s="19"/>
      <c r="M78" s="19"/>
      <c r="N78" s="19"/>
      <c r="O78" s="18" t="str">
        <f aca="false">IF(F78="","",IFERROR(INDEX(Parts!$C$6:$C$45,MATCH(F78,Parts!$A$6:$A$45,0)),""))</f>
        <v/>
      </c>
      <c r="P78" s="18" t="str">
        <f aca="false">IF(F78="","",IFERROR(INDEX(Parts!$E$6:$E$45,MATCH(F78,Parts!$A$6:$A$45,0)),""))</f>
        <v/>
      </c>
      <c r="Q78" s="23" t="str">
        <f aca="false">IF(OR(J78="",P78="",P78=0),"",J78/P78+IF(OR(N78="",K78=""),0,IFERROR(N78/INDEX(Parts!$E$6:$E$45,MATCH(K78,Parts!$A$6:$A$45,0)),0)))</f>
        <v/>
      </c>
      <c r="R78" s="24" t="str">
        <f aca="false">IF(B78="","",IF(J78="",0,J78*IFERROR(INDEX(Parts!$F$6:$F$45,MATCH(F78,Parts!$A$6:$A$45,0)),0))+IF(N78="",0,N78*IFERROR(INDEX(Parts!$F$6:$F$45,MATCH(K78,Parts!$A$6:$A$45,0)),0)))</f>
        <v/>
      </c>
      <c r="S78" s="19"/>
      <c r="T78" s="19"/>
      <c r="U78" s="18" t="str">
        <f aca="false">IF(B78="","",IF(F78="",Settings!$B$9,IFERROR(INDEX(Parts!$H$6:$H$45,MATCH(F78,Parts!$A$6:$A$45,0))+0,Settings!$B$9)))</f>
        <v/>
      </c>
      <c r="V78" s="22" t="str">
        <f aca="false">IF(B78="","",IF(INDEX($E$7:$E$336,ROW()-6+Settings!$B$7)&lt;&gt;"",INDEX($E$7:$E$336,ROW()-6+Settings!$B$7),E78+Settings!$B$7*D78/1440))</f>
        <v/>
      </c>
      <c r="W78" s="22" t="str">
        <f aca="false">IF(B78="","",IF(INDEX($E$7:$E$336,ROW()-6+Settings!$B$7+Settings!$B$8)&lt;&gt;"",INDEX($E$7:$E$336,ROW()-6+Settings!$B$7+Settings!$B$8),E78+(Settings!$B$7+Settings!$B$8)*D78/1440)+U78/1440)</f>
        <v/>
      </c>
      <c r="X78" s="18" t="str">
        <f aca="false">IF(B78="","",IF(INDEX($E$7:$E$336,ROW()-6+Settings!$B$7+Settings!$B$8)&lt;&gt;"","line","estimate"))</f>
        <v/>
      </c>
      <c r="Y78" s="25" t="str">
        <f aca="false">IF(B78="","",INT(W78-Settings!$B$6))</f>
        <v/>
      </c>
      <c r="Z78" s="19"/>
      <c r="AA78" s="18" t="str">
        <f aca="false">IF(B78="","",IF(AND(B78&lt;&gt;"Empty",F78=""),"part missing; ","")&amp;IF(AND(F78&lt;&gt;"",J78=""),"pieces missing; ","")&amp;IF(AND(F78&lt;&gt;"",O78=""),"part not on the Parts sheet; ","")&amp;IF(AND(B78="Empty",OR(F78&lt;&gt;"",K78&lt;&gt;"")),"empty tray with parts; ","")&amp;IF(AND(B78="Loaded",K78&lt;&gt;""),"second part: type Mixed; ","")&amp;IF(AND(Q78&lt;&gt;"",N(Q78)&gt;1),"over 100 % of the spec load; ","")&amp;IF(N(R78)&gt;Settings!$B$10,"over the tray maximum (kg); ","")&amp;IF(AND(K78&lt;&gt;"",IFERROR(INDEX(Parts!$C$6:$C$45,MATCH(K78,Parts!$A$6:$A$45,0)),O78)&lt;&gt;O78),"different processes in one tray; ","")&amp;IF(AND(S78&lt;&gt;"",T78=""),"rework reason missing; ",""))</f>
        <v/>
      </c>
    </row>
    <row r="79" customFormat="false" ht="15" hidden="false" customHeight="false" outlineLevel="0" collapsed="false">
      <c r="A79" s="18" t="str">
        <f aca="false">IF(B79="","",COUNTA(B$7:B79))</f>
        <v/>
      </c>
      <c r="B79" s="19"/>
      <c r="C79" s="20"/>
      <c r="D79" s="19" t="str">
        <f aca="false">IF(B79="","",IF(D78="",Report!$B$12,D78))</f>
        <v/>
      </c>
      <c r="E79" s="22" t="str">
        <f aca="false">IF(B79="","",IF(C79&lt;&gt;"",C79,E78+D78/1440+SUMIFS(Holds!$F$7:$F$46,Holds!$B$7:$B$46,"&gt;="&amp;E78,Holds!$B$7:$B$46,"&lt;"&amp;E78+D78/1440)/1440))</f>
        <v/>
      </c>
      <c r="F79" s="19"/>
      <c r="G79" s="19"/>
      <c r="H79" s="19"/>
      <c r="I79" s="19"/>
      <c r="J79" s="19"/>
      <c r="K79" s="19"/>
      <c r="L79" s="19"/>
      <c r="M79" s="19"/>
      <c r="N79" s="19"/>
      <c r="O79" s="18" t="str">
        <f aca="false">IF(F79="","",IFERROR(INDEX(Parts!$C$6:$C$45,MATCH(F79,Parts!$A$6:$A$45,0)),""))</f>
        <v/>
      </c>
      <c r="P79" s="18" t="str">
        <f aca="false">IF(F79="","",IFERROR(INDEX(Parts!$E$6:$E$45,MATCH(F79,Parts!$A$6:$A$45,0)),""))</f>
        <v/>
      </c>
      <c r="Q79" s="23" t="str">
        <f aca="false">IF(OR(J79="",P79="",P79=0),"",J79/P79+IF(OR(N79="",K79=""),0,IFERROR(N79/INDEX(Parts!$E$6:$E$45,MATCH(K79,Parts!$A$6:$A$45,0)),0)))</f>
        <v/>
      </c>
      <c r="R79" s="24" t="str">
        <f aca="false">IF(B79="","",IF(J79="",0,J79*IFERROR(INDEX(Parts!$F$6:$F$45,MATCH(F79,Parts!$A$6:$A$45,0)),0))+IF(N79="",0,N79*IFERROR(INDEX(Parts!$F$6:$F$45,MATCH(K79,Parts!$A$6:$A$45,0)),0)))</f>
        <v/>
      </c>
      <c r="S79" s="19"/>
      <c r="T79" s="19"/>
      <c r="U79" s="18" t="str">
        <f aca="false">IF(B79="","",IF(F79="",Settings!$B$9,IFERROR(INDEX(Parts!$H$6:$H$45,MATCH(F79,Parts!$A$6:$A$45,0))+0,Settings!$B$9)))</f>
        <v/>
      </c>
      <c r="V79" s="22" t="str">
        <f aca="false">IF(B79="","",IF(INDEX($E$7:$E$336,ROW()-6+Settings!$B$7)&lt;&gt;"",INDEX($E$7:$E$336,ROW()-6+Settings!$B$7),E79+Settings!$B$7*D79/1440))</f>
        <v/>
      </c>
      <c r="W79" s="22" t="str">
        <f aca="false">IF(B79="","",IF(INDEX($E$7:$E$336,ROW()-6+Settings!$B$7+Settings!$B$8)&lt;&gt;"",INDEX($E$7:$E$336,ROW()-6+Settings!$B$7+Settings!$B$8),E79+(Settings!$B$7+Settings!$B$8)*D79/1440)+U79/1440)</f>
        <v/>
      </c>
      <c r="X79" s="18" t="str">
        <f aca="false">IF(B79="","",IF(INDEX($E$7:$E$336,ROW()-6+Settings!$B$7+Settings!$B$8)&lt;&gt;"","line","estimate"))</f>
        <v/>
      </c>
      <c r="Y79" s="25" t="str">
        <f aca="false">IF(B79="","",INT(W79-Settings!$B$6))</f>
        <v/>
      </c>
      <c r="Z79" s="19"/>
      <c r="AA79" s="18" t="str">
        <f aca="false">IF(B79="","",IF(AND(B79&lt;&gt;"Empty",F79=""),"part missing; ","")&amp;IF(AND(F79&lt;&gt;"",J79=""),"pieces missing; ","")&amp;IF(AND(F79&lt;&gt;"",O79=""),"part not on the Parts sheet; ","")&amp;IF(AND(B79="Empty",OR(F79&lt;&gt;"",K79&lt;&gt;"")),"empty tray with parts; ","")&amp;IF(AND(B79="Loaded",K79&lt;&gt;""),"second part: type Mixed; ","")&amp;IF(AND(Q79&lt;&gt;"",N(Q79)&gt;1),"over 100 % of the spec load; ","")&amp;IF(N(R79)&gt;Settings!$B$10,"over the tray maximum (kg); ","")&amp;IF(AND(K79&lt;&gt;"",IFERROR(INDEX(Parts!$C$6:$C$45,MATCH(K79,Parts!$A$6:$A$45,0)),O79)&lt;&gt;O79),"different processes in one tray; ","")&amp;IF(AND(S79&lt;&gt;"",T79=""),"rework reason missing; ",""))</f>
        <v/>
      </c>
    </row>
    <row r="80" customFormat="false" ht="15" hidden="false" customHeight="false" outlineLevel="0" collapsed="false">
      <c r="A80" s="18" t="str">
        <f aca="false">IF(B80="","",COUNTA(B$7:B80))</f>
        <v/>
      </c>
      <c r="B80" s="19"/>
      <c r="C80" s="20"/>
      <c r="D80" s="19" t="str">
        <f aca="false">IF(B80="","",IF(D79="",Report!$B$12,D79))</f>
        <v/>
      </c>
      <c r="E80" s="22" t="str">
        <f aca="false">IF(B80="","",IF(C80&lt;&gt;"",C80,E79+D79/1440+SUMIFS(Holds!$F$7:$F$46,Holds!$B$7:$B$46,"&gt;="&amp;E79,Holds!$B$7:$B$46,"&lt;"&amp;E79+D79/1440)/1440))</f>
        <v/>
      </c>
      <c r="F80" s="19"/>
      <c r="G80" s="19"/>
      <c r="H80" s="19"/>
      <c r="I80" s="19"/>
      <c r="J80" s="19"/>
      <c r="K80" s="19"/>
      <c r="L80" s="19"/>
      <c r="M80" s="19"/>
      <c r="N80" s="19"/>
      <c r="O80" s="18" t="str">
        <f aca="false">IF(F80="","",IFERROR(INDEX(Parts!$C$6:$C$45,MATCH(F80,Parts!$A$6:$A$45,0)),""))</f>
        <v/>
      </c>
      <c r="P80" s="18" t="str">
        <f aca="false">IF(F80="","",IFERROR(INDEX(Parts!$E$6:$E$45,MATCH(F80,Parts!$A$6:$A$45,0)),""))</f>
        <v/>
      </c>
      <c r="Q80" s="23" t="str">
        <f aca="false">IF(OR(J80="",P80="",P80=0),"",J80/P80+IF(OR(N80="",K80=""),0,IFERROR(N80/INDEX(Parts!$E$6:$E$45,MATCH(K80,Parts!$A$6:$A$45,0)),0)))</f>
        <v/>
      </c>
      <c r="R80" s="24" t="str">
        <f aca="false">IF(B80="","",IF(J80="",0,J80*IFERROR(INDEX(Parts!$F$6:$F$45,MATCH(F80,Parts!$A$6:$A$45,0)),0))+IF(N80="",0,N80*IFERROR(INDEX(Parts!$F$6:$F$45,MATCH(K80,Parts!$A$6:$A$45,0)),0)))</f>
        <v/>
      </c>
      <c r="S80" s="19"/>
      <c r="T80" s="19"/>
      <c r="U80" s="18" t="str">
        <f aca="false">IF(B80="","",IF(F80="",Settings!$B$9,IFERROR(INDEX(Parts!$H$6:$H$45,MATCH(F80,Parts!$A$6:$A$45,0))+0,Settings!$B$9)))</f>
        <v/>
      </c>
      <c r="V80" s="22" t="str">
        <f aca="false">IF(B80="","",IF(INDEX($E$7:$E$336,ROW()-6+Settings!$B$7)&lt;&gt;"",INDEX($E$7:$E$336,ROW()-6+Settings!$B$7),E80+Settings!$B$7*D80/1440))</f>
        <v/>
      </c>
      <c r="W80" s="22" t="str">
        <f aca="false">IF(B80="","",IF(INDEX($E$7:$E$336,ROW()-6+Settings!$B$7+Settings!$B$8)&lt;&gt;"",INDEX($E$7:$E$336,ROW()-6+Settings!$B$7+Settings!$B$8),E80+(Settings!$B$7+Settings!$B$8)*D80/1440)+U80/1440)</f>
        <v/>
      </c>
      <c r="X80" s="18" t="str">
        <f aca="false">IF(B80="","",IF(INDEX($E$7:$E$336,ROW()-6+Settings!$B$7+Settings!$B$8)&lt;&gt;"","line","estimate"))</f>
        <v/>
      </c>
      <c r="Y80" s="25" t="str">
        <f aca="false">IF(B80="","",INT(W80-Settings!$B$6))</f>
        <v/>
      </c>
      <c r="Z80" s="19"/>
      <c r="AA80" s="18" t="str">
        <f aca="false">IF(B80="","",IF(AND(B80&lt;&gt;"Empty",F80=""),"part missing; ","")&amp;IF(AND(F80&lt;&gt;"",J80=""),"pieces missing; ","")&amp;IF(AND(F80&lt;&gt;"",O80=""),"part not on the Parts sheet; ","")&amp;IF(AND(B80="Empty",OR(F80&lt;&gt;"",K80&lt;&gt;"")),"empty tray with parts; ","")&amp;IF(AND(B80="Loaded",K80&lt;&gt;""),"second part: type Mixed; ","")&amp;IF(AND(Q80&lt;&gt;"",N(Q80)&gt;1),"over 100 % of the spec load; ","")&amp;IF(N(R80)&gt;Settings!$B$10,"over the tray maximum (kg); ","")&amp;IF(AND(K80&lt;&gt;"",IFERROR(INDEX(Parts!$C$6:$C$45,MATCH(K80,Parts!$A$6:$A$45,0)),O80)&lt;&gt;O80),"different processes in one tray; ","")&amp;IF(AND(S80&lt;&gt;"",T80=""),"rework reason missing; ",""))</f>
        <v/>
      </c>
    </row>
    <row r="81" customFormat="false" ht="15" hidden="false" customHeight="false" outlineLevel="0" collapsed="false">
      <c r="A81" s="18" t="str">
        <f aca="false">IF(B81="","",COUNTA(B$7:B81))</f>
        <v/>
      </c>
      <c r="B81" s="19"/>
      <c r="C81" s="20"/>
      <c r="D81" s="19" t="str">
        <f aca="false">IF(B81="","",IF(D80="",Report!$B$12,D80))</f>
        <v/>
      </c>
      <c r="E81" s="22" t="str">
        <f aca="false">IF(B81="","",IF(C81&lt;&gt;"",C81,E80+D80/1440+SUMIFS(Holds!$F$7:$F$46,Holds!$B$7:$B$46,"&gt;="&amp;E80,Holds!$B$7:$B$46,"&lt;"&amp;E80+D80/1440)/1440))</f>
        <v/>
      </c>
      <c r="F81" s="19"/>
      <c r="G81" s="19"/>
      <c r="H81" s="19"/>
      <c r="I81" s="19"/>
      <c r="J81" s="19"/>
      <c r="K81" s="19"/>
      <c r="L81" s="19"/>
      <c r="M81" s="19"/>
      <c r="N81" s="19"/>
      <c r="O81" s="18" t="str">
        <f aca="false">IF(F81="","",IFERROR(INDEX(Parts!$C$6:$C$45,MATCH(F81,Parts!$A$6:$A$45,0)),""))</f>
        <v/>
      </c>
      <c r="P81" s="18" t="str">
        <f aca="false">IF(F81="","",IFERROR(INDEX(Parts!$E$6:$E$45,MATCH(F81,Parts!$A$6:$A$45,0)),""))</f>
        <v/>
      </c>
      <c r="Q81" s="23" t="str">
        <f aca="false">IF(OR(J81="",P81="",P81=0),"",J81/P81+IF(OR(N81="",K81=""),0,IFERROR(N81/INDEX(Parts!$E$6:$E$45,MATCH(K81,Parts!$A$6:$A$45,0)),0)))</f>
        <v/>
      </c>
      <c r="R81" s="24" t="str">
        <f aca="false">IF(B81="","",IF(J81="",0,J81*IFERROR(INDEX(Parts!$F$6:$F$45,MATCH(F81,Parts!$A$6:$A$45,0)),0))+IF(N81="",0,N81*IFERROR(INDEX(Parts!$F$6:$F$45,MATCH(K81,Parts!$A$6:$A$45,0)),0)))</f>
        <v/>
      </c>
      <c r="S81" s="19"/>
      <c r="T81" s="19"/>
      <c r="U81" s="18" t="str">
        <f aca="false">IF(B81="","",IF(F81="",Settings!$B$9,IFERROR(INDEX(Parts!$H$6:$H$45,MATCH(F81,Parts!$A$6:$A$45,0))+0,Settings!$B$9)))</f>
        <v/>
      </c>
      <c r="V81" s="22" t="str">
        <f aca="false">IF(B81="","",IF(INDEX($E$7:$E$336,ROW()-6+Settings!$B$7)&lt;&gt;"",INDEX($E$7:$E$336,ROW()-6+Settings!$B$7),E81+Settings!$B$7*D81/1440))</f>
        <v/>
      </c>
      <c r="W81" s="22" t="str">
        <f aca="false">IF(B81="","",IF(INDEX($E$7:$E$336,ROW()-6+Settings!$B$7+Settings!$B$8)&lt;&gt;"",INDEX($E$7:$E$336,ROW()-6+Settings!$B$7+Settings!$B$8),E81+(Settings!$B$7+Settings!$B$8)*D81/1440)+U81/1440)</f>
        <v/>
      </c>
      <c r="X81" s="18" t="str">
        <f aca="false">IF(B81="","",IF(INDEX($E$7:$E$336,ROW()-6+Settings!$B$7+Settings!$B$8)&lt;&gt;"","line","estimate"))</f>
        <v/>
      </c>
      <c r="Y81" s="25" t="str">
        <f aca="false">IF(B81="","",INT(W81-Settings!$B$6))</f>
        <v/>
      </c>
      <c r="Z81" s="19"/>
      <c r="AA81" s="18" t="str">
        <f aca="false">IF(B81="","",IF(AND(B81&lt;&gt;"Empty",F81=""),"part missing; ","")&amp;IF(AND(F81&lt;&gt;"",J81=""),"pieces missing; ","")&amp;IF(AND(F81&lt;&gt;"",O81=""),"part not on the Parts sheet; ","")&amp;IF(AND(B81="Empty",OR(F81&lt;&gt;"",K81&lt;&gt;"")),"empty tray with parts; ","")&amp;IF(AND(B81="Loaded",K81&lt;&gt;""),"second part: type Mixed; ","")&amp;IF(AND(Q81&lt;&gt;"",N(Q81)&gt;1),"over 100 % of the spec load; ","")&amp;IF(N(R81)&gt;Settings!$B$10,"over the tray maximum (kg); ","")&amp;IF(AND(K81&lt;&gt;"",IFERROR(INDEX(Parts!$C$6:$C$45,MATCH(K81,Parts!$A$6:$A$45,0)),O81)&lt;&gt;O81),"different processes in one tray; ","")&amp;IF(AND(S81&lt;&gt;"",T81=""),"rework reason missing; ",""))</f>
        <v/>
      </c>
    </row>
    <row r="82" customFormat="false" ht="15" hidden="false" customHeight="false" outlineLevel="0" collapsed="false">
      <c r="A82" s="18" t="str">
        <f aca="false">IF(B82="","",COUNTA(B$7:B82))</f>
        <v/>
      </c>
      <c r="B82" s="19"/>
      <c r="C82" s="20"/>
      <c r="D82" s="19" t="str">
        <f aca="false">IF(B82="","",IF(D81="",Report!$B$12,D81))</f>
        <v/>
      </c>
      <c r="E82" s="22" t="str">
        <f aca="false">IF(B82="","",IF(C82&lt;&gt;"",C82,E81+D81/1440+SUMIFS(Holds!$F$7:$F$46,Holds!$B$7:$B$46,"&gt;="&amp;E81,Holds!$B$7:$B$46,"&lt;"&amp;E81+D81/1440)/1440))</f>
        <v/>
      </c>
      <c r="F82" s="19"/>
      <c r="G82" s="19"/>
      <c r="H82" s="19"/>
      <c r="I82" s="19"/>
      <c r="J82" s="19"/>
      <c r="K82" s="19"/>
      <c r="L82" s="19"/>
      <c r="M82" s="19"/>
      <c r="N82" s="19"/>
      <c r="O82" s="18" t="str">
        <f aca="false">IF(F82="","",IFERROR(INDEX(Parts!$C$6:$C$45,MATCH(F82,Parts!$A$6:$A$45,0)),""))</f>
        <v/>
      </c>
      <c r="P82" s="18" t="str">
        <f aca="false">IF(F82="","",IFERROR(INDEX(Parts!$E$6:$E$45,MATCH(F82,Parts!$A$6:$A$45,0)),""))</f>
        <v/>
      </c>
      <c r="Q82" s="23" t="str">
        <f aca="false">IF(OR(J82="",P82="",P82=0),"",J82/P82+IF(OR(N82="",K82=""),0,IFERROR(N82/INDEX(Parts!$E$6:$E$45,MATCH(K82,Parts!$A$6:$A$45,0)),0)))</f>
        <v/>
      </c>
      <c r="R82" s="24" t="str">
        <f aca="false">IF(B82="","",IF(J82="",0,J82*IFERROR(INDEX(Parts!$F$6:$F$45,MATCH(F82,Parts!$A$6:$A$45,0)),0))+IF(N82="",0,N82*IFERROR(INDEX(Parts!$F$6:$F$45,MATCH(K82,Parts!$A$6:$A$45,0)),0)))</f>
        <v/>
      </c>
      <c r="S82" s="19"/>
      <c r="T82" s="19"/>
      <c r="U82" s="18" t="str">
        <f aca="false">IF(B82="","",IF(F82="",Settings!$B$9,IFERROR(INDEX(Parts!$H$6:$H$45,MATCH(F82,Parts!$A$6:$A$45,0))+0,Settings!$B$9)))</f>
        <v/>
      </c>
      <c r="V82" s="22" t="str">
        <f aca="false">IF(B82="","",IF(INDEX($E$7:$E$336,ROW()-6+Settings!$B$7)&lt;&gt;"",INDEX($E$7:$E$336,ROW()-6+Settings!$B$7),E82+Settings!$B$7*D82/1440))</f>
        <v/>
      </c>
      <c r="W82" s="22" t="str">
        <f aca="false">IF(B82="","",IF(INDEX($E$7:$E$336,ROW()-6+Settings!$B$7+Settings!$B$8)&lt;&gt;"",INDEX($E$7:$E$336,ROW()-6+Settings!$B$7+Settings!$B$8),E82+(Settings!$B$7+Settings!$B$8)*D82/1440)+U82/1440)</f>
        <v/>
      </c>
      <c r="X82" s="18" t="str">
        <f aca="false">IF(B82="","",IF(INDEX($E$7:$E$336,ROW()-6+Settings!$B$7+Settings!$B$8)&lt;&gt;"","line","estimate"))</f>
        <v/>
      </c>
      <c r="Y82" s="25" t="str">
        <f aca="false">IF(B82="","",INT(W82-Settings!$B$6))</f>
        <v/>
      </c>
      <c r="Z82" s="19"/>
      <c r="AA82" s="18" t="str">
        <f aca="false">IF(B82="","",IF(AND(B82&lt;&gt;"Empty",F82=""),"part missing; ","")&amp;IF(AND(F82&lt;&gt;"",J82=""),"pieces missing; ","")&amp;IF(AND(F82&lt;&gt;"",O82=""),"part not on the Parts sheet; ","")&amp;IF(AND(B82="Empty",OR(F82&lt;&gt;"",K82&lt;&gt;"")),"empty tray with parts; ","")&amp;IF(AND(B82="Loaded",K82&lt;&gt;""),"second part: type Mixed; ","")&amp;IF(AND(Q82&lt;&gt;"",N(Q82)&gt;1),"over 100 % of the spec load; ","")&amp;IF(N(R82)&gt;Settings!$B$10,"over the tray maximum (kg); ","")&amp;IF(AND(K82&lt;&gt;"",IFERROR(INDEX(Parts!$C$6:$C$45,MATCH(K82,Parts!$A$6:$A$45,0)),O82)&lt;&gt;O82),"different processes in one tray; ","")&amp;IF(AND(S82&lt;&gt;"",T82=""),"rework reason missing; ",""))</f>
        <v/>
      </c>
    </row>
    <row r="83" customFormat="false" ht="15" hidden="false" customHeight="false" outlineLevel="0" collapsed="false">
      <c r="A83" s="18" t="str">
        <f aca="false">IF(B83="","",COUNTA(B$7:B83))</f>
        <v/>
      </c>
      <c r="B83" s="19"/>
      <c r="C83" s="20"/>
      <c r="D83" s="19" t="str">
        <f aca="false">IF(B83="","",IF(D82="",Report!$B$12,D82))</f>
        <v/>
      </c>
      <c r="E83" s="22" t="str">
        <f aca="false">IF(B83="","",IF(C83&lt;&gt;"",C83,E82+D82/1440+SUMIFS(Holds!$F$7:$F$46,Holds!$B$7:$B$46,"&gt;="&amp;E82,Holds!$B$7:$B$46,"&lt;"&amp;E82+D82/1440)/1440))</f>
        <v/>
      </c>
      <c r="F83" s="19"/>
      <c r="G83" s="19"/>
      <c r="H83" s="19"/>
      <c r="I83" s="19"/>
      <c r="J83" s="19"/>
      <c r="K83" s="19"/>
      <c r="L83" s="19"/>
      <c r="M83" s="19"/>
      <c r="N83" s="19"/>
      <c r="O83" s="18" t="str">
        <f aca="false">IF(F83="","",IFERROR(INDEX(Parts!$C$6:$C$45,MATCH(F83,Parts!$A$6:$A$45,0)),""))</f>
        <v/>
      </c>
      <c r="P83" s="18" t="str">
        <f aca="false">IF(F83="","",IFERROR(INDEX(Parts!$E$6:$E$45,MATCH(F83,Parts!$A$6:$A$45,0)),""))</f>
        <v/>
      </c>
      <c r="Q83" s="23" t="str">
        <f aca="false">IF(OR(J83="",P83="",P83=0),"",J83/P83+IF(OR(N83="",K83=""),0,IFERROR(N83/INDEX(Parts!$E$6:$E$45,MATCH(K83,Parts!$A$6:$A$45,0)),0)))</f>
        <v/>
      </c>
      <c r="R83" s="24" t="str">
        <f aca="false">IF(B83="","",IF(J83="",0,J83*IFERROR(INDEX(Parts!$F$6:$F$45,MATCH(F83,Parts!$A$6:$A$45,0)),0))+IF(N83="",0,N83*IFERROR(INDEX(Parts!$F$6:$F$45,MATCH(K83,Parts!$A$6:$A$45,0)),0)))</f>
        <v/>
      </c>
      <c r="S83" s="19"/>
      <c r="T83" s="19"/>
      <c r="U83" s="18" t="str">
        <f aca="false">IF(B83="","",IF(F83="",Settings!$B$9,IFERROR(INDEX(Parts!$H$6:$H$45,MATCH(F83,Parts!$A$6:$A$45,0))+0,Settings!$B$9)))</f>
        <v/>
      </c>
      <c r="V83" s="22" t="str">
        <f aca="false">IF(B83="","",IF(INDEX($E$7:$E$336,ROW()-6+Settings!$B$7)&lt;&gt;"",INDEX($E$7:$E$336,ROW()-6+Settings!$B$7),E83+Settings!$B$7*D83/1440))</f>
        <v/>
      </c>
      <c r="W83" s="22" t="str">
        <f aca="false">IF(B83="","",IF(INDEX($E$7:$E$336,ROW()-6+Settings!$B$7+Settings!$B$8)&lt;&gt;"",INDEX($E$7:$E$336,ROW()-6+Settings!$B$7+Settings!$B$8),E83+(Settings!$B$7+Settings!$B$8)*D83/1440)+U83/1440)</f>
        <v/>
      </c>
      <c r="X83" s="18" t="str">
        <f aca="false">IF(B83="","",IF(INDEX($E$7:$E$336,ROW()-6+Settings!$B$7+Settings!$B$8)&lt;&gt;"","line","estimate"))</f>
        <v/>
      </c>
      <c r="Y83" s="25" t="str">
        <f aca="false">IF(B83="","",INT(W83-Settings!$B$6))</f>
        <v/>
      </c>
      <c r="Z83" s="19"/>
      <c r="AA83" s="18" t="str">
        <f aca="false">IF(B83="","",IF(AND(B83&lt;&gt;"Empty",F83=""),"part missing; ","")&amp;IF(AND(F83&lt;&gt;"",J83=""),"pieces missing; ","")&amp;IF(AND(F83&lt;&gt;"",O83=""),"part not on the Parts sheet; ","")&amp;IF(AND(B83="Empty",OR(F83&lt;&gt;"",K83&lt;&gt;"")),"empty tray with parts; ","")&amp;IF(AND(B83="Loaded",K83&lt;&gt;""),"second part: type Mixed; ","")&amp;IF(AND(Q83&lt;&gt;"",N(Q83)&gt;1),"over 100 % of the spec load; ","")&amp;IF(N(R83)&gt;Settings!$B$10,"over the tray maximum (kg); ","")&amp;IF(AND(K83&lt;&gt;"",IFERROR(INDEX(Parts!$C$6:$C$45,MATCH(K83,Parts!$A$6:$A$45,0)),O83)&lt;&gt;O83),"different processes in one tray; ","")&amp;IF(AND(S83&lt;&gt;"",T83=""),"rework reason missing; ",""))</f>
        <v/>
      </c>
    </row>
    <row r="84" customFormat="false" ht="15" hidden="false" customHeight="false" outlineLevel="0" collapsed="false">
      <c r="A84" s="18" t="str">
        <f aca="false">IF(B84="","",COUNTA(B$7:B84))</f>
        <v/>
      </c>
      <c r="B84" s="19"/>
      <c r="C84" s="20"/>
      <c r="D84" s="19" t="str">
        <f aca="false">IF(B84="","",IF(D83="",Report!$B$12,D83))</f>
        <v/>
      </c>
      <c r="E84" s="22" t="str">
        <f aca="false">IF(B84="","",IF(C84&lt;&gt;"",C84,E83+D83/1440+SUMIFS(Holds!$F$7:$F$46,Holds!$B$7:$B$46,"&gt;="&amp;E83,Holds!$B$7:$B$46,"&lt;"&amp;E83+D83/1440)/1440))</f>
        <v/>
      </c>
      <c r="F84" s="19"/>
      <c r="G84" s="19"/>
      <c r="H84" s="19"/>
      <c r="I84" s="19"/>
      <c r="J84" s="19"/>
      <c r="K84" s="19"/>
      <c r="L84" s="19"/>
      <c r="M84" s="19"/>
      <c r="N84" s="19"/>
      <c r="O84" s="18" t="str">
        <f aca="false">IF(F84="","",IFERROR(INDEX(Parts!$C$6:$C$45,MATCH(F84,Parts!$A$6:$A$45,0)),""))</f>
        <v/>
      </c>
      <c r="P84" s="18" t="str">
        <f aca="false">IF(F84="","",IFERROR(INDEX(Parts!$E$6:$E$45,MATCH(F84,Parts!$A$6:$A$45,0)),""))</f>
        <v/>
      </c>
      <c r="Q84" s="23" t="str">
        <f aca="false">IF(OR(J84="",P84="",P84=0),"",J84/P84+IF(OR(N84="",K84=""),0,IFERROR(N84/INDEX(Parts!$E$6:$E$45,MATCH(K84,Parts!$A$6:$A$45,0)),0)))</f>
        <v/>
      </c>
      <c r="R84" s="24" t="str">
        <f aca="false">IF(B84="","",IF(J84="",0,J84*IFERROR(INDEX(Parts!$F$6:$F$45,MATCH(F84,Parts!$A$6:$A$45,0)),0))+IF(N84="",0,N84*IFERROR(INDEX(Parts!$F$6:$F$45,MATCH(K84,Parts!$A$6:$A$45,0)),0)))</f>
        <v/>
      </c>
      <c r="S84" s="19"/>
      <c r="T84" s="19"/>
      <c r="U84" s="18" t="str">
        <f aca="false">IF(B84="","",IF(F84="",Settings!$B$9,IFERROR(INDEX(Parts!$H$6:$H$45,MATCH(F84,Parts!$A$6:$A$45,0))+0,Settings!$B$9)))</f>
        <v/>
      </c>
      <c r="V84" s="22" t="str">
        <f aca="false">IF(B84="","",IF(INDEX($E$7:$E$336,ROW()-6+Settings!$B$7)&lt;&gt;"",INDEX($E$7:$E$336,ROW()-6+Settings!$B$7),E84+Settings!$B$7*D84/1440))</f>
        <v/>
      </c>
      <c r="W84" s="22" t="str">
        <f aca="false">IF(B84="","",IF(INDEX($E$7:$E$336,ROW()-6+Settings!$B$7+Settings!$B$8)&lt;&gt;"",INDEX($E$7:$E$336,ROW()-6+Settings!$B$7+Settings!$B$8),E84+(Settings!$B$7+Settings!$B$8)*D84/1440)+U84/1440)</f>
        <v/>
      </c>
      <c r="X84" s="18" t="str">
        <f aca="false">IF(B84="","",IF(INDEX($E$7:$E$336,ROW()-6+Settings!$B$7+Settings!$B$8)&lt;&gt;"","line","estimate"))</f>
        <v/>
      </c>
      <c r="Y84" s="25" t="str">
        <f aca="false">IF(B84="","",INT(W84-Settings!$B$6))</f>
        <v/>
      </c>
      <c r="Z84" s="19"/>
      <c r="AA84" s="18" t="str">
        <f aca="false">IF(B84="","",IF(AND(B84&lt;&gt;"Empty",F84=""),"part missing; ","")&amp;IF(AND(F84&lt;&gt;"",J84=""),"pieces missing; ","")&amp;IF(AND(F84&lt;&gt;"",O84=""),"part not on the Parts sheet; ","")&amp;IF(AND(B84="Empty",OR(F84&lt;&gt;"",K84&lt;&gt;"")),"empty tray with parts; ","")&amp;IF(AND(B84="Loaded",K84&lt;&gt;""),"second part: type Mixed; ","")&amp;IF(AND(Q84&lt;&gt;"",N(Q84)&gt;1),"over 100 % of the spec load; ","")&amp;IF(N(R84)&gt;Settings!$B$10,"over the tray maximum (kg); ","")&amp;IF(AND(K84&lt;&gt;"",IFERROR(INDEX(Parts!$C$6:$C$45,MATCH(K84,Parts!$A$6:$A$45,0)),O84)&lt;&gt;O84),"different processes in one tray; ","")&amp;IF(AND(S84&lt;&gt;"",T84=""),"rework reason missing; ",""))</f>
        <v/>
      </c>
    </row>
    <row r="85" customFormat="false" ht="15" hidden="false" customHeight="false" outlineLevel="0" collapsed="false">
      <c r="A85" s="18" t="str">
        <f aca="false">IF(B85="","",COUNTA(B$7:B85))</f>
        <v/>
      </c>
      <c r="B85" s="19"/>
      <c r="C85" s="20"/>
      <c r="D85" s="19" t="str">
        <f aca="false">IF(B85="","",IF(D84="",Report!$B$12,D84))</f>
        <v/>
      </c>
      <c r="E85" s="22" t="str">
        <f aca="false">IF(B85="","",IF(C85&lt;&gt;"",C85,E84+D84/1440+SUMIFS(Holds!$F$7:$F$46,Holds!$B$7:$B$46,"&gt;="&amp;E84,Holds!$B$7:$B$46,"&lt;"&amp;E84+D84/1440)/1440))</f>
        <v/>
      </c>
      <c r="F85" s="19"/>
      <c r="G85" s="19"/>
      <c r="H85" s="19"/>
      <c r="I85" s="19"/>
      <c r="J85" s="19"/>
      <c r="K85" s="19"/>
      <c r="L85" s="19"/>
      <c r="M85" s="19"/>
      <c r="N85" s="19"/>
      <c r="O85" s="18" t="str">
        <f aca="false">IF(F85="","",IFERROR(INDEX(Parts!$C$6:$C$45,MATCH(F85,Parts!$A$6:$A$45,0)),""))</f>
        <v/>
      </c>
      <c r="P85" s="18" t="str">
        <f aca="false">IF(F85="","",IFERROR(INDEX(Parts!$E$6:$E$45,MATCH(F85,Parts!$A$6:$A$45,0)),""))</f>
        <v/>
      </c>
      <c r="Q85" s="23" t="str">
        <f aca="false">IF(OR(J85="",P85="",P85=0),"",J85/P85+IF(OR(N85="",K85=""),0,IFERROR(N85/INDEX(Parts!$E$6:$E$45,MATCH(K85,Parts!$A$6:$A$45,0)),0)))</f>
        <v/>
      </c>
      <c r="R85" s="24" t="str">
        <f aca="false">IF(B85="","",IF(J85="",0,J85*IFERROR(INDEX(Parts!$F$6:$F$45,MATCH(F85,Parts!$A$6:$A$45,0)),0))+IF(N85="",0,N85*IFERROR(INDEX(Parts!$F$6:$F$45,MATCH(K85,Parts!$A$6:$A$45,0)),0)))</f>
        <v/>
      </c>
      <c r="S85" s="19"/>
      <c r="T85" s="19"/>
      <c r="U85" s="18" t="str">
        <f aca="false">IF(B85="","",IF(F85="",Settings!$B$9,IFERROR(INDEX(Parts!$H$6:$H$45,MATCH(F85,Parts!$A$6:$A$45,0))+0,Settings!$B$9)))</f>
        <v/>
      </c>
      <c r="V85" s="22" t="str">
        <f aca="false">IF(B85="","",IF(INDEX($E$7:$E$336,ROW()-6+Settings!$B$7)&lt;&gt;"",INDEX($E$7:$E$336,ROW()-6+Settings!$B$7),E85+Settings!$B$7*D85/1440))</f>
        <v/>
      </c>
      <c r="W85" s="22" t="str">
        <f aca="false">IF(B85="","",IF(INDEX($E$7:$E$336,ROW()-6+Settings!$B$7+Settings!$B$8)&lt;&gt;"",INDEX($E$7:$E$336,ROW()-6+Settings!$B$7+Settings!$B$8),E85+(Settings!$B$7+Settings!$B$8)*D85/1440)+U85/1440)</f>
        <v/>
      </c>
      <c r="X85" s="18" t="str">
        <f aca="false">IF(B85="","",IF(INDEX($E$7:$E$336,ROW()-6+Settings!$B$7+Settings!$B$8)&lt;&gt;"","line","estimate"))</f>
        <v/>
      </c>
      <c r="Y85" s="25" t="str">
        <f aca="false">IF(B85="","",INT(W85-Settings!$B$6))</f>
        <v/>
      </c>
      <c r="Z85" s="19"/>
      <c r="AA85" s="18" t="str">
        <f aca="false">IF(B85="","",IF(AND(B85&lt;&gt;"Empty",F85=""),"part missing; ","")&amp;IF(AND(F85&lt;&gt;"",J85=""),"pieces missing; ","")&amp;IF(AND(F85&lt;&gt;"",O85=""),"part not on the Parts sheet; ","")&amp;IF(AND(B85="Empty",OR(F85&lt;&gt;"",K85&lt;&gt;"")),"empty tray with parts; ","")&amp;IF(AND(B85="Loaded",K85&lt;&gt;""),"second part: type Mixed; ","")&amp;IF(AND(Q85&lt;&gt;"",N(Q85)&gt;1),"over 100 % of the spec load; ","")&amp;IF(N(R85)&gt;Settings!$B$10,"over the tray maximum (kg); ","")&amp;IF(AND(K85&lt;&gt;"",IFERROR(INDEX(Parts!$C$6:$C$45,MATCH(K85,Parts!$A$6:$A$45,0)),O85)&lt;&gt;O85),"different processes in one tray; ","")&amp;IF(AND(S85&lt;&gt;"",T85=""),"rework reason missing; ",""))</f>
        <v/>
      </c>
    </row>
    <row r="86" customFormat="false" ht="15" hidden="false" customHeight="false" outlineLevel="0" collapsed="false">
      <c r="A86" s="18" t="str">
        <f aca="false">IF(B86="","",COUNTA(B$7:B86))</f>
        <v/>
      </c>
      <c r="B86" s="19"/>
      <c r="C86" s="20"/>
      <c r="D86" s="19" t="str">
        <f aca="false">IF(B86="","",IF(D85="",Report!$B$12,D85))</f>
        <v/>
      </c>
      <c r="E86" s="22" t="str">
        <f aca="false">IF(B86="","",IF(C86&lt;&gt;"",C86,E85+D85/1440+SUMIFS(Holds!$F$7:$F$46,Holds!$B$7:$B$46,"&gt;="&amp;E85,Holds!$B$7:$B$46,"&lt;"&amp;E85+D85/1440)/1440))</f>
        <v/>
      </c>
      <c r="F86" s="19"/>
      <c r="G86" s="19"/>
      <c r="H86" s="19"/>
      <c r="I86" s="19"/>
      <c r="J86" s="19"/>
      <c r="K86" s="19"/>
      <c r="L86" s="19"/>
      <c r="M86" s="19"/>
      <c r="N86" s="19"/>
      <c r="O86" s="18" t="str">
        <f aca="false">IF(F86="","",IFERROR(INDEX(Parts!$C$6:$C$45,MATCH(F86,Parts!$A$6:$A$45,0)),""))</f>
        <v/>
      </c>
      <c r="P86" s="18" t="str">
        <f aca="false">IF(F86="","",IFERROR(INDEX(Parts!$E$6:$E$45,MATCH(F86,Parts!$A$6:$A$45,0)),""))</f>
        <v/>
      </c>
      <c r="Q86" s="23" t="str">
        <f aca="false">IF(OR(J86="",P86="",P86=0),"",J86/P86+IF(OR(N86="",K86=""),0,IFERROR(N86/INDEX(Parts!$E$6:$E$45,MATCH(K86,Parts!$A$6:$A$45,0)),0)))</f>
        <v/>
      </c>
      <c r="R86" s="24" t="str">
        <f aca="false">IF(B86="","",IF(J86="",0,J86*IFERROR(INDEX(Parts!$F$6:$F$45,MATCH(F86,Parts!$A$6:$A$45,0)),0))+IF(N86="",0,N86*IFERROR(INDEX(Parts!$F$6:$F$45,MATCH(K86,Parts!$A$6:$A$45,0)),0)))</f>
        <v/>
      </c>
      <c r="S86" s="19"/>
      <c r="T86" s="19"/>
      <c r="U86" s="18" t="str">
        <f aca="false">IF(B86="","",IF(F86="",Settings!$B$9,IFERROR(INDEX(Parts!$H$6:$H$45,MATCH(F86,Parts!$A$6:$A$45,0))+0,Settings!$B$9)))</f>
        <v/>
      </c>
      <c r="V86" s="22" t="str">
        <f aca="false">IF(B86="","",IF(INDEX($E$7:$E$336,ROW()-6+Settings!$B$7)&lt;&gt;"",INDEX($E$7:$E$336,ROW()-6+Settings!$B$7),E86+Settings!$B$7*D86/1440))</f>
        <v/>
      </c>
      <c r="W86" s="22" t="str">
        <f aca="false">IF(B86="","",IF(INDEX($E$7:$E$336,ROW()-6+Settings!$B$7+Settings!$B$8)&lt;&gt;"",INDEX($E$7:$E$336,ROW()-6+Settings!$B$7+Settings!$B$8),E86+(Settings!$B$7+Settings!$B$8)*D86/1440)+U86/1440)</f>
        <v/>
      </c>
      <c r="X86" s="18" t="str">
        <f aca="false">IF(B86="","",IF(INDEX($E$7:$E$336,ROW()-6+Settings!$B$7+Settings!$B$8)&lt;&gt;"","line","estimate"))</f>
        <v/>
      </c>
      <c r="Y86" s="25" t="str">
        <f aca="false">IF(B86="","",INT(W86-Settings!$B$6))</f>
        <v/>
      </c>
      <c r="Z86" s="19"/>
      <c r="AA86" s="18" t="str">
        <f aca="false">IF(B86="","",IF(AND(B86&lt;&gt;"Empty",F86=""),"part missing; ","")&amp;IF(AND(F86&lt;&gt;"",J86=""),"pieces missing; ","")&amp;IF(AND(F86&lt;&gt;"",O86=""),"part not on the Parts sheet; ","")&amp;IF(AND(B86="Empty",OR(F86&lt;&gt;"",K86&lt;&gt;"")),"empty tray with parts; ","")&amp;IF(AND(B86="Loaded",K86&lt;&gt;""),"second part: type Mixed; ","")&amp;IF(AND(Q86&lt;&gt;"",N(Q86)&gt;1),"over 100 % of the spec load; ","")&amp;IF(N(R86)&gt;Settings!$B$10,"over the tray maximum (kg); ","")&amp;IF(AND(K86&lt;&gt;"",IFERROR(INDEX(Parts!$C$6:$C$45,MATCH(K86,Parts!$A$6:$A$45,0)),O86)&lt;&gt;O86),"different processes in one tray; ","")&amp;IF(AND(S86&lt;&gt;"",T86=""),"rework reason missing; ",""))</f>
        <v/>
      </c>
    </row>
    <row r="87" customFormat="false" ht="15" hidden="false" customHeight="false" outlineLevel="0" collapsed="false">
      <c r="A87" s="18" t="str">
        <f aca="false">IF(B87="","",COUNTA(B$7:B87))</f>
        <v/>
      </c>
      <c r="B87" s="19"/>
      <c r="C87" s="20"/>
      <c r="D87" s="19" t="str">
        <f aca="false">IF(B87="","",IF(D86="",Report!$B$12,D86))</f>
        <v/>
      </c>
      <c r="E87" s="22" t="str">
        <f aca="false">IF(B87="","",IF(C87&lt;&gt;"",C87,E86+D86/1440+SUMIFS(Holds!$F$7:$F$46,Holds!$B$7:$B$46,"&gt;="&amp;E86,Holds!$B$7:$B$46,"&lt;"&amp;E86+D86/1440)/1440))</f>
        <v/>
      </c>
      <c r="F87" s="19"/>
      <c r="G87" s="19"/>
      <c r="H87" s="19"/>
      <c r="I87" s="19"/>
      <c r="J87" s="19"/>
      <c r="K87" s="19"/>
      <c r="L87" s="19"/>
      <c r="M87" s="19"/>
      <c r="N87" s="19"/>
      <c r="O87" s="18" t="str">
        <f aca="false">IF(F87="","",IFERROR(INDEX(Parts!$C$6:$C$45,MATCH(F87,Parts!$A$6:$A$45,0)),""))</f>
        <v/>
      </c>
      <c r="P87" s="18" t="str">
        <f aca="false">IF(F87="","",IFERROR(INDEX(Parts!$E$6:$E$45,MATCH(F87,Parts!$A$6:$A$45,0)),""))</f>
        <v/>
      </c>
      <c r="Q87" s="23" t="str">
        <f aca="false">IF(OR(J87="",P87="",P87=0),"",J87/P87+IF(OR(N87="",K87=""),0,IFERROR(N87/INDEX(Parts!$E$6:$E$45,MATCH(K87,Parts!$A$6:$A$45,0)),0)))</f>
        <v/>
      </c>
      <c r="R87" s="24" t="str">
        <f aca="false">IF(B87="","",IF(J87="",0,J87*IFERROR(INDEX(Parts!$F$6:$F$45,MATCH(F87,Parts!$A$6:$A$45,0)),0))+IF(N87="",0,N87*IFERROR(INDEX(Parts!$F$6:$F$45,MATCH(K87,Parts!$A$6:$A$45,0)),0)))</f>
        <v/>
      </c>
      <c r="S87" s="19"/>
      <c r="T87" s="19"/>
      <c r="U87" s="18" t="str">
        <f aca="false">IF(B87="","",IF(F87="",Settings!$B$9,IFERROR(INDEX(Parts!$H$6:$H$45,MATCH(F87,Parts!$A$6:$A$45,0))+0,Settings!$B$9)))</f>
        <v/>
      </c>
      <c r="V87" s="22" t="str">
        <f aca="false">IF(B87="","",IF(INDEX($E$7:$E$336,ROW()-6+Settings!$B$7)&lt;&gt;"",INDEX($E$7:$E$336,ROW()-6+Settings!$B$7),E87+Settings!$B$7*D87/1440))</f>
        <v/>
      </c>
      <c r="W87" s="22" t="str">
        <f aca="false">IF(B87="","",IF(INDEX($E$7:$E$336,ROW()-6+Settings!$B$7+Settings!$B$8)&lt;&gt;"",INDEX($E$7:$E$336,ROW()-6+Settings!$B$7+Settings!$B$8),E87+(Settings!$B$7+Settings!$B$8)*D87/1440)+U87/1440)</f>
        <v/>
      </c>
      <c r="X87" s="18" t="str">
        <f aca="false">IF(B87="","",IF(INDEX($E$7:$E$336,ROW()-6+Settings!$B$7+Settings!$B$8)&lt;&gt;"","line","estimate"))</f>
        <v/>
      </c>
      <c r="Y87" s="25" t="str">
        <f aca="false">IF(B87="","",INT(W87-Settings!$B$6))</f>
        <v/>
      </c>
      <c r="Z87" s="19"/>
      <c r="AA87" s="18" t="str">
        <f aca="false">IF(B87="","",IF(AND(B87&lt;&gt;"Empty",F87=""),"part missing; ","")&amp;IF(AND(F87&lt;&gt;"",J87=""),"pieces missing; ","")&amp;IF(AND(F87&lt;&gt;"",O87=""),"part not on the Parts sheet; ","")&amp;IF(AND(B87="Empty",OR(F87&lt;&gt;"",K87&lt;&gt;"")),"empty tray with parts; ","")&amp;IF(AND(B87="Loaded",K87&lt;&gt;""),"second part: type Mixed; ","")&amp;IF(AND(Q87&lt;&gt;"",N(Q87)&gt;1),"over 100 % of the spec load; ","")&amp;IF(N(R87)&gt;Settings!$B$10,"over the tray maximum (kg); ","")&amp;IF(AND(K87&lt;&gt;"",IFERROR(INDEX(Parts!$C$6:$C$45,MATCH(K87,Parts!$A$6:$A$45,0)),O87)&lt;&gt;O87),"different processes in one tray; ","")&amp;IF(AND(S87&lt;&gt;"",T87=""),"rework reason missing; ",""))</f>
        <v/>
      </c>
    </row>
    <row r="88" customFormat="false" ht="15" hidden="false" customHeight="false" outlineLevel="0" collapsed="false">
      <c r="A88" s="18" t="str">
        <f aca="false">IF(B88="","",COUNTA(B$7:B88))</f>
        <v/>
      </c>
      <c r="B88" s="19"/>
      <c r="C88" s="20"/>
      <c r="D88" s="19" t="str">
        <f aca="false">IF(B88="","",IF(D87="",Report!$B$12,D87))</f>
        <v/>
      </c>
      <c r="E88" s="22" t="str">
        <f aca="false">IF(B88="","",IF(C88&lt;&gt;"",C88,E87+D87/1440+SUMIFS(Holds!$F$7:$F$46,Holds!$B$7:$B$46,"&gt;="&amp;E87,Holds!$B$7:$B$46,"&lt;"&amp;E87+D87/1440)/1440))</f>
        <v/>
      </c>
      <c r="F88" s="19"/>
      <c r="G88" s="19"/>
      <c r="H88" s="19"/>
      <c r="I88" s="19"/>
      <c r="J88" s="19"/>
      <c r="K88" s="19"/>
      <c r="L88" s="19"/>
      <c r="M88" s="19"/>
      <c r="N88" s="19"/>
      <c r="O88" s="18" t="str">
        <f aca="false">IF(F88="","",IFERROR(INDEX(Parts!$C$6:$C$45,MATCH(F88,Parts!$A$6:$A$45,0)),""))</f>
        <v/>
      </c>
      <c r="P88" s="18" t="str">
        <f aca="false">IF(F88="","",IFERROR(INDEX(Parts!$E$6:$E$45,MATCH(F88,Parts!$A$6:$A$45,0)),""))</f>
        <v/>
      </c>
      <c r="Q88" s="23" t="str">
        <f aca="false">IF(OR(J88="",P88="",P88=0),"",J88/P88+IF(OR(N88="",K88=""),0,IFERROR(N88/INDEX(Parts!$E$6:$E$45,MATCH(K88,Parts!$A$6:$A$45,0)),0)))</f>
        <v/>
      </c>
      <c r="R88" s="24" t="str">
        <f aca="false">IF(B88="","",IF(J88="",0,J88*IFERROR(INDEX(Parts!$F$6:$F$45,MATCH(F88,Parts!$A$6:$A$45,0)),0))+IF(N88="",0,N88*IFERROR(INDEX(Parts!$F$6:$F$45,MATCH(K88,Parts!$A$6:$A$45,0)),0)))</f>
        <v/>
      </c>
      <c r="S88" s="19"/>
      <c r="T88" s="19"/>
      <c r="U88" s="18" t="str">
        <f aca="false">IF(B88="","",IF(F88="",Settings!$B$9,IFERROR(INDEX(Parts!$H$6:$H$45,MATCH(F88,Parts!$A$6:$A$45,0))+0,Settings!$B$9)))</f>
        <v/>
      </c>
      <c r="V88" s="22" t="str">
        <f aca="false">IF(B88="","",IF(INDEX($E$7:$E$336,ROW()-6+Settings!$B$7)&lt;&gt;"",INDEX($E$7:$E$336,ROW()-6+Settings!$B$7),E88+Settings!$B$7*D88/1440))</f>
        <v/>
      </c>
      <c r="W88" s="22" t="str">
        <f aca="false">IF(B88="","",IF(INDEX($E$7:$E$336,ROW()-6+Settings!$B$7+Settings!$B$8)&lt;&gt;"",INDEX($E$7:$E$336,ROW()-6+Settings!$B$7+Settings!$B$8),E88+(Settings!$B$7+Settings!$B$8)*D88/1440)+U88/1440)</f>
        <v/>
      </c>
      <c r="X88" s="18" t="str">
        <f aca="false">IF(B88="","",IF(INDEX($E$7:$E$336,ROW()-6+Settings!$B$7+Settings!$B$8)&lt;&gt;"","line","estimate"))</f>
        <v/>
      </c>
      <c r="Y88" s="25" t="str">
        <f aca="false">IF(B88="","",INT(W88-Settings!$B$6))</f>
        <v/>
      </c>
      <c r="Z88" s="19"/>
      <c r="AA88" s="18" t="str">
        <f aca="false">IF(B88="","",IF(AND(B88&lt;&gt;"Empty",F88=""),"part missing; ","")&amp;IF(AND(F88&lt;&gt;"",J88=""),"pieces missing; ","")&amp;IF(AND(F88&lt;&gt;"",O88=""),"part not on the Parts sheet; ","")&amp;IF(AND(B88="Empty",OR(F88&lt;&gt;"",K88&lt;&gt;"")),"empty tray with parts; ","")&amp;IF(AND(B88="Loaded",K88&lt;&gt;""),"second part: type Mixed; ","")&amp;IF(AND(Q88&lt;&gt;"",N(Q88)&gt;1),"over 100 % of the spec load; ","")&amp;IF(N(R88)&gt;Settings!$B$10,"over the tray maximum (kg); ","")&amp;IF(AND(K88&lt;&gt;"",IFERROR(INDEX(Parts!$C$6:$C$45,MATCH(K88,Parts!$A$6:$A$45,0)),O88)&lt;&gt;O88),"different processes in one tray; ","")&amp;IF(AND(S88&lt;&gt;"",T88=""),"rework reason missing; ",""))</f>
        <v/>
      </c>
    </row>
    <row r="89" customFormat="false" ht="15" hidden="false" customHeight="false" outlineLevel="0" collapsed="false">
      <c r="A89" s="18" t="str">
        <f aca="false">IF(B89="","",COUNTA(B$7:B89))</f>
        <v/>
      </c>
      <c r="B89" s="19"/>
      <c r="C89" s="20"/>
      <c r="D89" s="19" t="str">
        <f aca="false">IF(B89="","",IF(D88="",Report!$B$12,D88))</f>
        <v/>
      </c>
      <c r="E89" s="22" t="str">
        <f aca="false">IF(B89="","",IF(C89&lt;&gt;"",C89,E88+D88/1440+SUMIFS(Holds!$F$7:$F$46,Holds!$B$7:$B$46,"&gt;="&amp;E88,Holds!$B$7:$B$46,"&lt;"&amp;E88+D88/1440)/1440))</f>
        <v/>
      </c>
      <c r="F89" s="19"/>
      <c r="G89" s="19"/>
      <c r="H89" s="19"/>
      <c r="I89" s="19"/>
      <c r="J89" s="19"/>
      <c r="K89" s="19"/>
      <c r="L89" s="19"/>
      <c r="M89" s="19"/>
      <c r="N89" s="19"/>
      <c r="O89" s="18" t="str">
        <f aca="false">IF(F89="","",IFERROR(INDEX(Parts!$C$6:$C$45,MATCH(F89,Parts!$A$6:$A$45,0)),""))</f>
        <v/>
      </c>
      <c r="P89" s="18" t="str">
        <f aca="false">IF(F89="","",IFERROR(INDEX(Parts!$E$6:$E$45,MATCH(F89,Parts!$A$6:$A$45,0)),""))</f>
        <v/>
      </c>
      <c r="Q89" s="23" t="str">
        <f aca="false">IF(OR(J89="",P89="",P89=0),"",J89/P89+IF(OR(N89="",K89=""),0,IFERROR(N89/INDEX(Parts!$E$6:$E$45,MATCH(K89,Parts!$A$6:$A$45,0)),0)))</f>
        <v/>
      </c>
      <c r="R89" s="24" t="str">
        <f aca="false">IF(B89="","",IF(J89="",0,J89*IFERROR(INDEX(Parts!$F$6:$F$45,MATCH(F89,Parts!$A$6:$A$45,0)),0))+IF(N89="",0,N89*IFERROR(INDEX(Parts!$F$6:$F$45,MATCH(K89,Parts!$A$6:$A$45,0)),0)))</f>
        <v/>
      </c>
      <c r="S89" s="19"/>
      <c r="T89" s="19"/>
      <c r="U89" s="18" t="str">
        <f aca="false">IF(B89="","",IF(F89="",Settings!$B$9,IFERROR(INDEX(Parts!$H$6:$H$45,MATCH(F89,Parts!$A$6:$A$45,0))+0,Settings!$B$9)))</f>
        <v/>
      </c>
      <c r="V89" s="22" t="str">
        <f aca="false">IF(B89="","",IF(INDEX($E$7:$E$336,ROW()-6+Settings!$B$7)&lt;&gt;"",INDEX($E$7:$E$336,ROW()-6+Settings!$B$7),E89+Settings!$B$7*D89/1440))</f>
        <v/>
      </c>
      <c r="W89" s="22" t="str">
        <f aca="false">IF(B89="","",IF(INDEX($E$7:$E$336,ROW()-6+Settings!$B$7+Settings!$B$8)&lt;&gt;"",INDEX($E$7:$E$336,ROW()-6+Settings!$B$7+Settings!$B$8),E89+(Settings!$B$7+Settings!$B$8)*D89/1440)+U89/1440)</f>
        <v/>
      </c>
      <c r="X89" s="18" t="str">
        <f aca="false">IF(B89="","",IF(INDEX($E$7:$E$336,ROW()-6+Settings!$B$7+Settings!$B$8)&lt;&gt;"","line","estimate"))</f>
        <v/>
      </c>
      <c r="Y89" s="25" t="str">
        <f aca="false">IF(B89="","",INT(W89-Settings!$B$6))</f>
        <v/>
      </c>
      <c r="Z89" s="19"/>
      <c r="AA89" s="18" t="str">
        <f aca="false">IF(B89="","",IF(AND(B89&lt;&gt;"Empty",F89=""),"part missing; ","")&amp;IF(AND(F89&lt;&gt;"",J89=""),"pieces missing; ","")&amp;IF(AND(F89&lt;&gt;"",O89=""),"part not on the Parts sheet; ","")&amp;IF(AND(B89="Empty",OR(F89&lt;&gt;"",K89&lt;&gt;"")),"empty tray with parts; ","")&amp;IF(AND(B89="Loaded",K89&lt;&gt;""),"second part: type Mixed; ","")&amp;IF(AND(Q89&lt;&gt;"",N(Q89)&gt;1),"over 100 % of the spec load; ","")&amp;IF(N(R89)&gt;Settings!$B$10,"over the tray maximum (kg); ","")&amp;IF(AND(K89&lt;&gt;"",IFERROR(INDEX(Parts!$C$6:$C$45,MATCH(K89,Parts!$A$6:$A$45,0)),O89)&lt;&gt;O89),"different processes in one tray; ","")&amp;IF(AND(S89&lt;&gt;"",T89=""),"rework reason missing; ",""))</f>
        <v/>
      </c>
    </row>
    <row r="90" customFormat="false" ht="15" hidden="false" customHeight="false" outlineLevel="0" collapsed="false">
      <c r="A90" s="18" t="str">
        <f aca="false">IF(B90="","",COUNTA(B$7:B90))</f>
        <v/>
      </c>
      <c r="B90" s="19"/>
      <c r="C90" s="20"/>
      <c r="D90" s="19" t="str">
        <f aca="false">IF(B90="","",IF(D89="",Report!$B$12,D89))</f>
        <v/>
      </c>
      <c r="E90" s="22" t="str">
        <f aca="false">IF(B90="","",IF(C90&lt;&gt;"",C90,E89+D89/1440+SUMIFS(Holds!$F$7:$F$46,Holds!$B$7:$B$46,"&gt;="&amp;E89,Holds!$B$7:$B$46,"&lt;"&amp;E89+D89/1440)/1440))</f>
        <v/>
      </c>
      <c r="F90" s="19"/>
      <c r="G90" s="19"/>
      <c r="H90" s="19"/>
      <c r="I90" s="19"/>
      <c r="J90" s="19"/>
      <c r="K90" s="19"/>
      <c r="L90" s="19"/>
      <c r="M90" s="19"/>
      <c r="N90" s="19"/>
      <c r="O90" s="18" t="str">
        <f aca="false">IF(F90="","",IFERROR(INDEX(Parts!$C$6:$C$45,MATCH(F90,Parts!$A$6:$A$45,0)),""))</f>
        <v/>
      </c>
      <c r="P90" s="18" t="str">
        <f aca="false">IF(F90="","",IFERROR(INDEX(Parts!$E$6:$E$45,MATCH(F90,Parts!$A$6:$A$45,0)),""))</f>
        <v/>
      </c>
      <c r="Q90" s="23" t="str">
        <f aca="false">IF(OR(J90="",P90="",P90=0),"",J90/P90+IF(OR(N90="",K90=""),0,IFERROR(N90/INDEX(Parts!$E$6:$E$45,MATCH(K90,Parts!$A$6:$A$45,0)),0)))</f>
        <v/>
      </c>
      <c r="R90" s="24" t="str">
        <f aca="false">IF(B90="","",IF(J90="",0,J90*IFERROR(INDEX(Parts!$F$6:$F$45,MATCH(F90,Parts!$A$6:$A$45,0)),0))+IF(N90="",0,N90*IFERROR(INDEX(Parts!$F$6:$F$45,MATCH(K90,Parts!$A$6:$A$45,0)),0)))</f>
        <v/>
      </c>
      <c r="S90" s="19"/>
      <c r="T90" s="19"/>
      <c r="U90" s="18" t="str">
        <f aca="false">IF(B90="","",IF(F90="",Settings!$B$9,IFERROR(INDEX(Parts!$H$6:$H$45,MATCH(F90,Parts!$A$6:$A$45,0))+0,Settings!$B$9)))</f>
        <v/>
      </c>
      <c r="V90" s="22" t="str">
        <f aca="false">IF(B90="","",IF(INDEX($E$7:$E$336,ROW()-6+Settings!$B$7)&lt;&gt;"",INDEX($E$7:$E$336,ROW()-6+Settings!$B$7),E90+Settings!$B$7*D90/1440))</f>
        <v/>
      </c>
      <c r="W90" s="22" t="str">
        <f aca="false">IF(B90="","",IF(INDEX($E$7:$E$336,ROW()-6+Settings!$B$7+Settings!$B$8)&lt;&gt;"",INDEX($E$7:$E$336,ROW()-6+Settings!$B$7+Settings!$B$8),E90+(Settings!$B$7+Settings!$B$8)*D90/1440)+U90/1440)</f>
        <v/>
      </c>
      <c r="X90" s="18" t="str">
        <f aca="false">IF(B90="","",IF(INDEX($E$7:$E$336,ROW()-6+Settings!$B$7+Settings!$B$8)&lt;&gt;"","line","estimate"))</f>
        <v/>
      </c>
      <c r="Y90" s="25" t="str">
        <f aca="false">IF(B90="","",INT(W90-Settings!$B$6))</f>
        <v/>
      </c>
      <c r="Z90" s="19"/>
      <c r="AA90" s="18" t="str">
        <f aca="false">IF(B90="","",IF(AND(B90&lt;&gt;"Empty",F90=""),"part missing; ","")&amp;IF(AND(F90&lt;&gt;"",J90=""),"pieces missing; ","")&amp;IF(AND(F90&lt;&gt;"",O90=""),"part not on the Parts sheet; ","")&amp;IF(AND(B90="Empty",OR(F90&lt;&gt;"",K90&lt;&gt;"")),"empty tray with parts; ","")&amp;IF(AND(B90="Loaded",K90&lt;&gt;""),"second part: type Mixed; ","")&amp;IF(AND(Q90&lt;&gt;"",N(Q90)&gt;1),"over 100 % of the spec load; ","")&amp;IF(N(R90)&gt;Settings!$B$10,"over the tray maximum (kg); ","")&amp;IF(AND(K90&lt;&gt;"",IFERROR(INDEX(Parts!$C$6:$C$45,MATCH(K90,Parts!$A$6:$A$45,0)),O90)&lt;&gt;O90),"different processes in one tray; ","")&amp;IF(AND(S90&lt;&gt;"",T90=""),"rework reason missing; ",""))</f>
        <v/>
      </c>
    </row>
    <row r="91" customFormat="false" ht="15" hidden="false" customHeight="false" outlineLevel="0" collapsed="false">
      <c r="A91" s="18" t="str">
        <f aca="false">IF(B91="","",COUNTA(B$7:B91))</f>
        <v/>
      </c>
      <c r="B91" s="19"/>
      <c r="C91" s="20"/>
      <c r="D91" s="19" t="str">
        <f aca="false">IF(B91="","",IF(D90="",Report!$B$12,D90))</f>
        <v/>
      </c>
      <c r="E91" s="22" t="str">
        <f aca="false">IF(B91="","",IF(C91&lt;&gt;"",C91,E90+D90/1440+SUMIFS(Holds!$F$7:$F$46,Holds!$B$7:$B$46,"&gt;="&amp;E90,Holds!$B$7:$B$46,"&lt;"&amp;E90+D90/1440)/1440))</f>
        <v/>
      </c>
      <c r="F91" s="19"/>
      <c r="G91" s="19"/>
      <c r="H91" s="19"/>
      <c r="I91" s="19"/>
      <c r="J91" s="19"/>
      <c r="K91" s="19"/>
      <c r="L91" s="19"/>
      <c r="M91" s="19"/>
      <c r="N91" s="19"/>
      <c r="O91" s="18" t="str">
        <f aca="false">IF(F91="","",IFERROR(INDEX(Parts!$C$6:$C$45,MATCH(F91,Parts!$A$6:$A$45,0)),""))</f>
        <v/>
      </c>
      <c r="P91" s="18" t="str">
        <f aca="false">IF(F91="","",IFERROR(INDEX(Parts!$E$6:$E$45,MATCH(F91,Parts!$A$6:$A$45,0)),""))</f>
        <v/>
      </c>
      <c r="Q91" s="23" t="str">
        <f aca="false">IF(OR(J91="",P91="",P91=0),"",J91/P91+IF(OR(N91="",K91=""),0,IFERROR(N91/INDEX(Parts!$E$6:$E$45,MATCH(K91,Parts!$A$6:$A$45,0)),0)))</f>
        <v/>
      </c>
      <c r="R91" s="24" t="str">
        <f aca="false">IF(B91="","",IF(J91="",0,J91*IFERROR(INDEX(Parts!$F$6:$F$45,MATCH(F91,Parts!$A$6:$A$45,0)),0))+IF(N91="",0,N91*IFERROR(INDEX(Parts!$F$6:$F$45,MATCH(K91,Parts!$A$6:$A$45,0)),0)))</f>
        <v/>
      </c>
      <c r="S91" s="19"/>
      <c r="T91" s="19"/>
      <c r="U91" s="18" t="str">
        <f aca="false">IF(B91="","",IF(F91="",Settings!$B$9,IFERROR(INDEX(Parts!$H$6:$H$45,MATCH(F91,Parts!$A$6:$A$45,0))+0,Settings!$B$9)))</f>
        <v/>
      </c>
      <c r="V91" s="22" t="str">
        <f aca="false">IF(B91="","",IF(INDEX($E$7:$E$336,ROW()-6+Settings!$B$7)&lt;&gt;"",INDEX($E$7:$E$336,ROW()-6+Settings!$B$7),E91+Settings!$B$7*D91/1440))</f>
        <v/>
      </c>
      <c r="W91" s="22" t="str">
        <f aca="false">IF(B91="","",IF(INDEX($E$7:$E$336,ROW()-6+Settings!$B$7+Settings!$B$8)&lt;&gt;"",INDEX($E$7:$E$336,ROW()-6+Settings!$B$7+Settings!$B$8),E91+(Settings!$B$7+Settings!$B$8)*D91/1440)+U91/1440)</f>
        <v/>
      </c>
      <c r="X91" s="18" t="str">
        <f aca="false">IF(B91="","",IF(INDEX($E$7:$E$336,ROW()-6+Settings!$B$7+Settings!$B$8)&lt;&gt;"","line","estimate"))</f>
        <v/>
      </c>
      <c r="Y91" s="25" t="str">
        <f aca="false">IF(B91="","",INT(W91-Settings!$B$6))</f>
        <v/>
      </c>
      <c r="Z91" s="19"/>
      <c r="AA91" s="18" t="str">
        <f aca="false">IF(B91="","",IF(AND(B91&lt;&gt;"Empty",F91=""),"part missing; ","")&amp;IF(AND(F91&lt;&gt;"",J91=""),"pieces missing; ","")&amp;IF(AND(F91&lt;&gt;"",O91=""),"part not on the Parts sheet; ","")&amp;IF(AND(B91="Empty",OR(F91&lt;&gt;"",K91&lt;&gt;"")),"empty tray with parts; ","")&amp;IF(AND(B91="Loaded",K91&lt;&gt;""),"second part: type Mixed; ","")&amp;IF(AND(Q91&lt;&gt;"",N(Q91)&gt;1),"over 100 % of the spec load; ","")&amp;IF(N(R91)&gt;Settings!$B$10,"over the tray maximum (kg); ","")&amp;IF(AND(K91&lt;&gt;"",IFERROR(INDEX(Parts!$C$6:$C$45,MATCH(K91,Parts!$A$6:$A$45,0)),O91)&lt;&gt;O91),"different processes in one tray; ","")&amp;IF(AND(S91&lt;&gt;"",T91=""),"rework reason missing; ",""))</f>
        <v/>
      </c>
    </row>
    <row r="92" customFormat="false" ht="15" hidden="false" customHeight="false" outlineLevel="0" collapsed="false">
      <c r="A92" s="18" t="str">
        <f aca="false">IF(B92="","",COUNTA(B$7:B92))</f>
        <v/>
      </c>
      <c r="B92" s="19"/>
      <c r="C92" s="20"/>
      <c r="D92" s="19" t="str">
        <f aca="false">IF(B92="","",IF(D91="",Report!$B$12,D91))</f>
        <v/>
      </c>
      <c r="E92" s="22" t="str">
        <f aca="false">IF(B92="","",IF(C92&lt;&gt;"",C92,E91+D91/1440+SUMIFS(Holds!$F$7:$F$46,Holds!$B$7:$B$46,"&gt;="&amp;E91,Holds!$B$7:$B$46,"&lt;"&amp;E91+D91/1440)/1440))</f>
        <v/>
      </c>
      <c r="F92" s="19"/>
      <c r="G92" s="19"/>
      <c r="H92" s="19"/>
      <c r="I92" s="19"/>
      <c r="J92" s="19"/>
      <c r="K92" s="19"/>
      <c r="L92" s="19"/>
      <c r="M92" s="19"/>
      <c r="N92" s="19"/>
      <c r="O92" s="18" t="str">
        <f aca="false">IF(F92="","",IFERROR(INDEX(Parts!$C$6:$C$45,MATCH(F92,Parts!$A$6:$A$45,0)),""))</f>
        <v/>
      </c>
      <c r="P92" s="18" t="str">
        <f aca="false">IF(F92="","",IFERROR(INDEX(Parts!$E$6:$E$45,MATCH(F92,Parts!$A$6:$A$45,0)),""))</f>
        <v/>
      </c>
      <c r="Q92" s="23" t="str">
        <f aca="false">IF(OR(J92="",P92="",P92=0),"",J92/P92+IF(OR(N92="",K92=""),0,IFERROR(N92/INDEX(Parts!$E$6:$E$45,MATCH(K92,Parts!$A$6:$A$45,0)),0)))</f>
        <v/>
      </c>
      <c r="R92" s="24" t="str">
        <f aca="false">IF(B92="","",IF(J92="",0,J92*IFERROR(INDEX(Parts!$F$6:$F$45,MATCH(F92,Parts!$A$6:$A$45,0)),0))+IF(N92="",0,N92*IFERROR(INDEX(Parts!$F$6:$F$45,MATCH(K92,Parts!$A$6:$A$45,0)),0)))</f>
        <v/>
      </c>
      <c r="S92" s="19"/>
      <c r="T92" s="19"/>
      <c r="U92" s="18" t="str">
        <f aca="false">IF(B92="","",IF(F92="",Settings!$B$9,IFERROR(INDEX(Parts!$H$6:$H$45,MATCH(F92,Parts!$A$6:$A$45,0))+0,Settings!$B$9)))</f>
        <v/>
      </c>
      <c r="V92" s="22" t="str">
        <f aca="false">IF(B92="","",IF(INDEX($E$7:$E$336,ROW()-6+Settings!$B$7)&lt;&gt;"",INDEX($E$7:$E$336,ROW()-6+Settings!$B$7),E92+Settings!$B$7*D92/1440))</f>
        <v/>
      </c>
      <c r="W92" s="22" t="str">
        <f aca="false">IF(B92="","",IF(INDEX($E$7:$E$336,ROW()-6+Settings!$B$7+Settings!$B$8)&lt;&gt;"",INDEX($E$7:$E$336,ROW()-6+Settings!$B$7+Settings!$B$8),E92+(Settings!$B$7+Settings!$B$8)*D92/1440)+U92/1440)</f>
        <v/>
      </c>
      <c r="X92" s="18" t="str">
        <f aca="false">IF(B92="","",IF(INDEX($E$7:$E$336,ROW()-6+Settings!$B$7+Settings!$B$8)&lt;&gt;"","line","estimate"))</f>
        <v/>
      </c>
      <c r="Y92" s="25" t="str">
        <f aca="false">IF(B92="","",INT(W92-Settings!$B$6))</f>
        <v/>
      </c>
      <c r="Z92" s="19"/>
      <c r="AA92" s="18" t="str">
        <f aca="false">IF(B92="","",IF(AND(B92&lt;&gt;"Empty",F92=""),"part missing; ","")&amp;IF(AND(F92&lt;&gt;"",J92=""),"pieces missing; ","")&amp;IF(AND(F92&lt;&gt;"",O92=""),"part not on the Parts sheet; ","")&amp;IF(AND(B92="Empty",OR(F92&lt;&gt;"",K92&lt;&gt;"")),"empty tray with parts; ","")&amp;IF(AND(B92="Loaded",K92&lt;&gt;""),"second part: type Mixed; ","")&amp;IF(AND(Q92&lt;&gt;"",N(Q92)&gt;1),"over 100 % of the spec load; ","")&amp;IF(N(R92)&gt;Settings!$B$10,"over the tray maximum (kg); ","")&amp;IF(AND(K92&lt;&gt;"",IFERROR(INDEX(Parts!$C$6:$C$45,MATCH(K92,Parts!$A$6:$A$45,0)),O92)&lt;&gt;O92),"different processes in one tray; ","")&amp;IF(AND(S92&lt;&gt;"",T92=""),"rework reason missing; ",""))</f>
        <v/>
      </c>
    </row>
    <row r="93" customFormat="false" ht="15" hidden="false" customHeight="false" outlineLevel="0" collapsed="false">
      <c r="A93" s="18" t="str">
        <f aca="false">IF(B93="","",COUNTA(B$7:B93))</f>
        <v/>
      </c>
      <c r="B93" s="19"/>
      <c r="C93" s="20"/>
      <c r="D93" s="19" t="str">
        <f aca="false">IF(B93="","",IF(D92="",Report!$B$12,D92))</f>
        <v/>
      </c>
      <c r="E93" s="22" t="str">
        <f aca="false">IF(B93="","",IF(C93&lt;&gt;"",C93,E92+D92/1440+SUMIFS(Holds!$F$7:$F$46,Holds!$B$7:$B$46,"&gt;="&amp;E92,Holds!$B$7:$B$46,"&lt;"&amp;E92+D92/1440)/1440))</f>
        <v/>
      </c>
      <c r="F93" s="19"/>
      <c r="G93" s="19"/>
      <c r="H93" s="19"/>
      <c r="I93" s="19"/>
      <c r="J93" s="19"/>
      <c r="K93" s="19"/>
      <c r="L93" s="19"/>
      <c r="M93" s="19"/>
      <c r="N93" s="19"/>
      <c r="O93" s="18" t="str">
        <f aca="false">IF(F93="","",IFERROR(INDEX(Parts!$C$6:$C$45,MATCH(F93,Parts!$A$6:$A$45,0)),""))</f>
        <v/>
      </c>
      <c r="P93" s="18" t="str">
        <f aca="false">IF(F93="","",IFERROR(INDEX(Parts!$E$6:$E$45,MATCH(F93,Parts!$A$6:$A$45,0)),""))</f>
        <v/>
      </c>
      <c r="Q93" s="23" t="str">
        <f aca="false">IF(OR(J93="",P93="",P93=0),"",J93/P93+IF(OR(N93="",K93=""),0,IFERROR(N93/INDEX(Parts!$E$6:$E$45,MATCH(K93,Parts!$A$6:$A$45,0)),0)))</f>
        <v/>
      </c>
      <c r="R93" s="24" t="str">
        <f aca="false">IF(B93="","",IF(J93="",0,J93*IFERROR(INDEX(Parts!$F$6:$F$45,MATCH(F93,Parts!$A$6:$A$45,0)),0))+IF(N93="",0,N93*IFERROR(INDEX(Parts!$F$6:$F$45,MATCH(K93,Parts!$A$6:$A$45,0)),0)))</f>
        <v/>
      </c>
      <c r="S93" s="19"/>
      <c r="T93" s="19"/>
      <c r="U93" s="18" t="str">
        <f aca="false">IF(B93="","",IF(F93="",Settings!$B$9,IFERROR(INDEX(Parts!$H$6:$H$45,MATCH(F93,Parts!$A$6:$A$45,0))+0,Settings!$B$9)))</f>
        <v/>
      </c>
      <c r="V93" s="22" t="str">
        <f aca="false">IF(B93="","",IF(INDEX($E$7:$E$336,ROW()-6+Settings!$B$7)&lt;&gt;"",INDEX($E$7:$E$336,ROW()-6+Settings!$B$7),E93+Settings!$B$7*D93/1440))</f>
        <v/>
      </c>
      <c r="W93" s="22" t="str">
        <f aca="false">IF(B93="","",IF(INDEX($E$7:$E$336,ROW()-6+Settings!$B$7+Settings!$B$8)&lt;&gt;"",INDEX($E$7:$E$336,ROW()-6+Settings!$B$7+Settings!$B$8),E93+(Settings!$B$7+Settings!$B$8)*D93/1440)+U93/1440)</f>
        <v/>
      </c>
      <c r="X93" s="18" t="str">
        <f aca="false">IF(B93="","",IF(INDEX($E$7:$E$336,ROW()-6+Settings!$B$7+Settings!$B$8)&lt;&gt;"","line","estimate"))</f>
        <v/>
      </c>
      <c r="Y93" s="25" t="str">
        <f aca="false">IF(B93="","",INT(W93-Settings!$B$6))</f>
        <v/>
      </c>
      <c r="Z93" s="19"/>
      <c r="AA93" s="18" t="str">
        <f aca="false">IF(B93="","",IF(AND(B93&lt;&gt;"Empty",F93=""),"part missing; ","")&amp;IF(AND(F93&lt;&gt;"",J93=""),"pieces missing; ","")&amp;IF(AND(F93&lt;&gt;"",O93=""),"part not on the Parts sheet; ","")&amp;IF(AND(B93="Empty",OR(F93&lt;&gt;"",K93&lt;&gt;"")),"empty tray with parts; ","")&amp;IF(AND(B93="Loaded",K93&lt;&gt;""),"second part: type Mixed; ","")&amp;IF(AND(Q93&lt;&gt;"",N(Q93)&gt;1),"over 100 % of the spec load; ","")&amp;IF(N(R93)&gt;Settings!$B$10,"over the tray maximum (kg); ","")&amp;IF(AND(K93&lt;&gt;"",IFERROR(INDEX(Parts!$C$6:$C$45,MATCH(K93,Parts!$A$6:$A$45,0)),O93)&lt;&gt;O93),"different processes in one tray; ","")&amp;IF(AND(S93&lt;&gt;"",T93=""),"rework reason missing; ",""))</f>
        <v/>
      </c>
    </row>
    <row r="94" customFormat="false" ht="15" hidden="false" customHeight="false" outlineLevel="0" collapsed="false">
      <c r="A94" s="18" t="str">
        <f aca="false">IF(B94="","",COUNTA(B$7:B94))</f>
        <v/>
      </c>
      <c r="B94" s="19"/>
      <c r="C94" s="20"/>
      <c r="D94" s="19" t="str">
        <f aca="false">IF(B94="","",IF(D93="",Report!$B$12,D93))</f>
        <v/>
      </c>
      <c r="E94" s="22" t="str">
        <f aca="false">IF(B94="","",IF(C94&lt;&gt;"",C94,E93+D93/1440+SUMIFS(Holds!$F$7:$F$46,Holds!$B$7:$B$46,"&gt;="&amp;E93,Holds!$B$7:$B$46,"&lt;"&amp;E93+D93/1440)/1440))</f>
        <v/>
      </c>
      <c r="F94" s="19"/>
      <c r="G94" s="19"/>
      <c r="H94" s="19"/>
      <c r="I94" s="19"/>
      <c r="J94" s="19"/>
      <c r="K94" s="19"/>
      <c r="L94" s="19"/>
      <c r="M94" s="19"/>
      <c r="N94" s="19"/>
      <c r="O94" s="18" t="str">
        <f aca="false">IF(F94="","",IFERROR(INDEX(Parts!$C$6:$C$45,MATCH(F94,Parts!$A$6:$A$45,0)),""))</f>
        <v/>
      </c>
      <c r="P94" s="18" t="str">
        <f aca="false">IF(F94="","",IFERROR(INDEX(Parts!$E$6:$E$45,MATCH(F94,Parts!$A$6:$A$45,0)),""))</f>
        <v/>
      </c>
      <c r="Q94" s="23" t="str">
        <f aca="false">IF(OR(J94="",P94="",P94=0),"",J94/P94+IF(OR(N94="",K94=""),0,IFERROR(N94/INDEX(Parts!$E$6:$E$45,MATCH(K94,Parts!$A$6:$A$45,0)),0)))</f>
        <v/>
      </c>
      <c r="R94" s="24" t="str">
        <f aca="false">IF(B94="","",IF(J94="",0,J94*IFERROR(INDEX(Parts!$F$6:$F$45,MATCH(F94,Parts!$A$6:$A$45,0)),0))+IF(N94="",0,N94*IFERROR(INDEX(Parts!$F$6:$F$45,MATCH(K94,Parts!$A$6:$A$45,0)),0)))</f>
        <v/>
      </c>
      <c r="S94" s="19"/>
      <c r="T94" s="19"/>
      <c r="U94" s="18" t="str">
        <f aca="false">IF(B94="","",IF(F94="",Settings!$B$9,IFERROR(INDEX(Parts!$H$6:$H$45,MATCH(F94,Parts!$A$6:$A$45,0))+0,Settings!$B$9)))</f>
        <v/>
      </c>
      <c r="V94" s="22" t="str">
        <f aca="false">IF(B94="","",IF(INDEX($E$7:$E$336,ROW()-6+Settings!$B$7)&lt;&gt;"",INDEX($E$7:$E$336,ROW()-6+Settings!$B$7),E94+Settings!$B$7*D94/1440))</f>
        <v/>
      </c>
      <c r="W94" s="22" t="str">
        <f aca="false">IF(B94="","",IF(INDEX($E$7:$E$336,ROW()-6+Settings!$B$7+Settings!$B$8)&lt;&gt;"",INDEX($E$7:$E$336,ROW()-6+Settings!$B$7+Settings!$B$8),E94+(Settings!$B$7+Settings!$B$8)*D94/1440)+U94/1440)</f>
        <v/>
      </c>
      <c r="X94" s="18" t="str">
        <f aca="false">IF(B94="","",IF(INDEX($E$7:$E$336,ROW()-6+Settings!$B$7+Settings!$B$8)&lt;&gt;"","line","estimate"))</f>
        <v/>
      </c>
      <c r="Y94" s="25" t="str">
        <f aca="false">IF(B94="","",INT(W94-Settings!$B$6))</f>
        <v/>
      </c>
      <c r="Z94" s="19"/>
      <c r="AA94" s="18" t="str">
        <f aca="false">IF(B94="","",IF(AND(B94&lt;&gt;"Empty",F94=""),"part missing; ","")&amp;IF(AND(F94&lt;&gt;"",J94=""),"pieces missing; ","")&amp;IF(AND(F94&lt;&gt;"",O94=""),"part not on the Parts sheet; ","")&amp;IF(AND(B94="Empty",OR(F94&lt;&gt;"",K94&lt;&gt;"")),"empty tray with parts; ","")&amp;IF(AND(B94="Loaded",K94&lt;&gt;""),"second part: type Mixed; ","")&amp;IF(AND(Q94&lt;&gt;"",N(Q94)&gt;1),"over 100 % of the spec load; ","")&amp;IF(N(R94)&gt;Settings!$B$10,"over the tray maximum (kg); ","")&amp;IF(AND(K94&lt;&gt;"",IFERROR(INDEX(Parts!$C$6:$C$45,MATCH(K94,Parts!$A$6:$A$45,0)),O94)&lt;&gt;O94),"different processes in one tray; ","")&amp;IF(AND(S94&lt;&gt;"",T94=""),"rework reason missing; ",""))</f>
        <v/>
      </c>
    </row>
    <row r="95" customFormat="false" ht="15" hidden="false" customHeight="false" outlineLevel="0" collapsed="false">
      <c r="A95" s="18" t="str">
        <f aca="false">IF(B95="","",COUNTA(B$7:B95))</f>
        <v/>
      </c>
      <c r="B95" s="19"/>
      <c r="C95" s="20"/>
      <c r="D95" s="19" t="str">
        <f aca="false">IF(B95="","",IF(D94="",Report!$B$12,D94))</f>
        <v/>
      </c>
      <c r="E95" s="22" t="str">
        <f aca="false">IF(B95="","",IF(C95&lt;&gt;"",C95,E94+D94/1440+SUMIFS(Holds!$F$7:$F$46,Holds!$B$7:$B$46,"&gt;="&amp;E94,Holds!$B$7:$B$46,"&lt;"&amp;E94+D94/1440)/1440))</f>
        <v/>
      </c>
      <c r="F95" s="19"/>
      <c r="G95" s="19"/>
      <c r="H95" s="19"/>
      <c r="I95" s="19"/>
      <c r="J95" s="19"/>
      <c r="K95" s="19"/>
      <c r="L95" s="19"/>
      <c r="M95" s="19"/>
      <c r="N95" s="19"/>
      <c r="O95" s="18" t="str">
        <f aca="false">IF(F95="","",IFERROR(INDEX(Parts!$C$6:$C$45,MATCH(F95,Parts!$A$6:$A$45,0)),""))</f>
        <v/>
      </c>
      <c r="P95" s="18" t="str">
        <f aca="false">IF(F95="","",IFERROR(INDEX(Parts!$E$6:$E$45,MATCH(F95,Parts!$A$6:$A$45,0)),""))</f>
        <v/>
      </c>
      <c r="Q95" s="23" t="str">
        <f aca="false">IF(OR(J95="",P95="",P95=0),"",J95/P95+IF(OR(N95="",K95=""),0,IFERROR(N95/INDEX(Parts!$E$6:$E$45,MATCH(K95,Parts!$A$6:$A$45,0)),0)))</f>
        <v/>
      </c>
      <c r="R95" s="24" t="str">
        <f aca="false">IF(B95="","",IF(J95="",0,J95*IFERROR(INDEX(Parts!$F$6:$F$45,MATCH(F95,Parts!$A$6:$A$45,0)),0))+IF(N95="",0,N95*IFERROR(INDEX(Parts!$F$6:$F$45,MATCH(K95,Parts!$A$6:$A$45,0)),0)))</f>
        <v/>
      </c>
      <c r="S95" s="19"/>
      <c r="T95" s="19"/>
      <c r="U95" s="18" t="str">
        <f aca="false">IF(B95="","",IF(F95="",Settings!$B$9,IFERROR(INDEX(Parts!$H$6:$H$45,MATCH(F95,Parts!$A$6:$A$45,0))+0,Settings!$B$9)))</f>
        <v/>
      </c>
      <c r="V95" s="22" t="str">
        <f aca="false">IF(B95="","",IF(INDEX($E$7:$E$336,ROW()-6+Settings!$B$7)&lt;&gt;"",INDEX($E$7:$E$336,ROW()-6+Settings!$B$7),E95+Settings!$B$7*D95/1440))</f>
        <v/>
      </c>
      <c r="W95" s="22" t="str">
        <f aca="false">IF(B95="","",IF(INDEX($E$7:$E$336,ROW()-6+Settings!$B$7+Settings!$B$8)&lt;&gt;"",INDEX($E$7:$E$336,ROW()-6+Settings!$B$7+Settings!$B$8),E95+(Settings!$B$7+Settings!$B$8)*D95/1440)+U95/1440)</f>
        <v/>
      </c>
      <c r="X95" s="18" t="str">
        <f aca="false">IF(B95="","",IF(INDEX($E$7:$E$336,ROW()-6+Settings!$B$7+Settings!$B$8)&lt;&gt;"","line","estimate"))</f>
        <v/>
      </c>
      <c r="Y95" s="25" t="str">
        <f aca="false">IF(B95="","",INT(W95-Settings!$B$6))</f>
        <v/>
      </c>
      <c r="Z95" s="19"/>
      <c r="AA95" s="18" t="str">
        <f aca="false">IF(B95="","",IF(AND(B95&lt;&gt;"Empty",F95=""),"part missing; ","")&amp;IF(AND(F95&lt;&gt;"",J95=""),"pieces missing; ","")&amp;IF(AND(F95&lt;&gt;"",O95=""),"part not on the Parts sheet; ","")&amp;IF(AND(B95="Empty",OR(F95&lt;&gt;"",K95&lt;&gt;"")),"empty tray with parts; ","")&amp;IF(AND(B95="Loaded",K95&lt;&gt;""),"second part: type Mixed; ","")&amp;IF(AND(Q95&lt;&gt;"",N(Q95)&gt;1),"over 100 % of the spec load; ","")&amp;IF(N(R95)&gt;Settings!$B$10,"over the tray maximum (kg); ","")&amp;IF(AND(K95&lt;&gt;"",IFERROR(INDEX(Parts!$C$6:$C$45,MATCH(K95,Parts!$A$6:$A$45,0)),O95)&lt;&gt;O95),"different processes in one tray; ","")&amp;IF(AND(S95&lt;&gt;"",T95=""),"rework reason missing; ",""))</f>
        <v/>
      </c>
    </row>
    <row r="96" customFormat="false" ht="15" hidden="false" customHeight="false" outlineLevel="0" collapsed="false">
      <c r="A96" s="18" t="str">
        <f aca="false">IF(B96="","",COUNTA(B$7:B96))</f>
        <v/>
      </c>
      <c r="B96" s="19"/>
      <c r="C96" s="20"/>
      <c r="D96" s="19" t="str">
        <f aca="false">IF(B96="","",IF(D95="",Report!$B$12,D95))</f>
        <v/>
      </c>
      <c r="E96" s="22" t="str">
        <f aca="false">IF(B96="","",IF(C96&lt;&gt;"",C96,E95+D95/1440+SUMIFS(Holds!$F$7:$F$46,Holds!$B$7:$B$46,"&gt;="&amp;E95,Holds!$B$7:$B$46,"&lt;"&amp;E95+D95/1440)/1440))</f>
        <v/>
      </c>
      <c r="F96" s="19"/>
      <c r="G96" s="19"/>
      <c r="H96" s="19"/>
      <c r="I96" s="19"/>
      <c r="J96" s="19"/>
      <c r="K96" s="19"/>
      <c r="L96" s="19"/>
      <c r="M96" s="19"/>
      <c r="N96" s="19"/>
      <c r="O96" s="18" t="str">
        <f aca="false">IF(F96="","",IFERROR(INDEX(Parts!$C$6:$C$45,MATCH(F96,Parts!$A$6:$A$45,0)),""))</f>
        <v/>
      </c>
      <c r="P96" s="18" t="str">
        <f aca="false">IF(F96="","",IFERROR(INDEX(Parts!$E$6:$E$45,MATCH(F96,Parts!$A$6:$A$45,0)),""))</f>
        <v/>
      </c>
      <c r="Q96" s="23" t="str">
        <f aca="false">IF(OR(J96="",P96="",P96=0),"",J96/P96+IF(OR(N96="",K96=""),0,IFERROR(N96/INDEX(Parts!$E$6:$E$45,MATCH(K96,Parts!$A$6:$A$45,0)),0)))</f>
        <v/>
      </c>
      <c r="R96" s="24" t="str">
        <f aca="false">IF(B96="","",IF(J96="",0,J96*IFERROR(INDEX(Parts!$F$6:$F$45,MATCH(F96,Parts!$A$6:$A$45,0)),0))+IF(N96="",0,N96*IFERROR(INDEX(Parts!$F$6:$F$45,MATCH(K96,Parts!$A$6:$A$45,0)),0)))</f>
        <v/>
      </c>
      <c r="S96" s="19"/>
      <c r="T96" s="19"/>
      <c r="U96" s="18" t="str">
        <f aca="false">IF(B96="","",IF(F96="",Settings!$B$9,IFERROR(INDEX(Parts!$H$6:$H$45,MATCH(F96,Parts!$A$6:$A$45,0))+0,Settings!$B$9)))</f>
        <v/>
      </c>
      <c r="V96" s="22" t="str">
        <f aca="false">IF(B96="","",IF(INDEX($E$7:$E$336,ROW()-6+Settings!$B$7)&lt;&gt;"",INDEX($E$7:$E$336,ROW()-6+Settings!$B$7),E96+Settings!$B$7*D96/1440))</f>
        <v/>
      </c>
      <c r="W96" s="22" t="str">
        <f aca="false">IF(B96="","",IF(INDEX($E$7:$E$336,ROW()-6+Settings!$B$7+Settings!$B$8)&lt;&gt;"",INDEX($E$7:$E$336,ROW()-6+Settings!$B$7+Settings!$B$8),E96+(Settings!$B$7+Settings!$B$8)*D96/1440)+U96/1440)</f>
        <v/>
      </c>
      <c r="X96" s="18" t="str">
        <f aca="false">IF(B96="","",IF(INDEX($E$7:$E$336,ROW()-6+Settings!$B$7+Settings!$B$8)&lt;&gt;"","line","estimate"))</f>
        <v/>
      </c>
      <c r="Y96" s="25" t="str">
        <f aca="false">IF(B96="","",INT(W96-Settings!$B$6))</f>
        <v/>
      </c>
      <c r="Z96" s="19"/>
      <c r="AA96" s="18" t="str">
        <f aca="false">IF(B96="","",IF(AND(B96&lt;&gt;"Empty",F96=""),"part missing; ","")&amp;IF(AND(F96&lt;&gt;"",J96=""),"pieces missing; ","")&amp;IF(AND(F96&lt;&gt;"",O96=""),"part not on the Parts sheet; ","")&amp;IF(AND(B96="Empty",OR(F96&lt;&gt;"",K96&lt;&gt;"")),"empty tray with parts; ","")&amp;IF(AND(B96="Loaded",K96&lt;&gt;""),"second part: type Mixed; ","")&amp;IF(AND(Q96&lt;&gt;"",N(Q96)&gt;1),"over 100 % of the spec load; ","")&amp;IF(N(R96)&gt;Settings!$B$10,"over the tray maximum (kg); ","")&amp;IF(AND(K96&lt;&gt;"",IFERROR(INDEX(Parts!$C$6:$C$45,MATCH(K96,Parts!$A$6:$A$45,0)),O96)&lt;&gt;O96),"different processes in one tray; ","")&amp;IF(AND(S96&lt;&gt;"",T96=""),"rework reason missing; ",""))</f>
        <v/>
      </c>
    </row>
    <row r="97" customFormat="false" ht="15" hidden="false" customHeight="false" outlineLevel="0" collapsed="false">
      <c r="A97" s="18" t="str">
        <f aca="false">IF(B97="","",COUNTA(B$7:B97))</f>
        <v/>
      </c>
      <c r="B97" s="19"/>
      <c r="C97" s="20"/>
      <c r="D97" s="19" t="str">
        <f aca="false">IF(B97="","",IF(D96="",Report!$B$12,D96))</f>
        <v/>
      </c>
      <c r="E97" s="22" t="str">
        <f aca="false">IF(B97="","",IF(C97&lt;&gt;"",C97,E96+D96/1440+SUMIFS(Holds!$F$7:$F$46,Holds!$B$7:$B$46,"&gt;="&amp;E96,Holds!$B$7:$B$46,"&lt;"&amp;E96+D96/1440)/1440))</f>
        <v/>
      </c>
      <c r="F97" s="19"/>
      <c r="G97" s="19"/>
      <c r="H97" s="19"/>
      <c r="I97" s="19"/>
      <c r="J97" s="19"/>
      <c r="K97" s="19"/>
      <c r="L97" s="19"/>
      <c r="M97" s="19"/>
      <c r="N97" s="19"/>
      <c r="O97" s="18" t="str">
        <f aca="false">IF(F97="","",IFERROR(INDEX(Parts!$C$6:$C$45,MATCH(F97,Parts!$A$6:$A$45,0)),""))</f>
        <v/>
      </c>
      <c r="P97" s="18" t="str">
        <f aca="false">IF(F97="","",IFERROR(INDEX(Parts!$E$6:$E$45,MATCH(F97,Parts!$A$6:$A$45,0)),""))</f>
        <v/>
      </c>
      <c r="Q97" s="23" t="str">
        <f aca="false">IF(OR(J97="",P97="",P97=0),"",J97/P97+IF(OR(N97="",K97=""),0,IFERROR(N97/INDEX(Parts!$E$6:$E$45,MATCH(K97,Parts!$A$6:$A$45,0)),0)))</f>
        <v/>
      </c>
      <c r="R97" s="24" t="str">
        <f aca="false">IF(B97="","",IF(J97="",0,J97*IFERROR(INDEX(Parts!$F$6:$F$45,MATCH(F97,Parts!$A$6:$A$45,0)),0))+IF(N97="",0,N97*IFERROR(INDEX(Parts!$F$6:$F$45,MATCH(K97,Parts!$A$6:$A$45,0)),0)))</f>
        <v/>
      </c>
      <c r="S97" s="19"/>
      <c r="T97" s="19"/>
      <c r="U97" s="18" t="str">
        <f aca="false">IF(B97="","",IF(F97="",Settings!$B$9,IFERROR(INDEX(Parts!$H$6:$H$45,MATCH(F97,Parts!$A$6:$A$45,0))+0,Settings!$B$9)))</f>
        <v/>
      </c>
      <c r="V97" s="22" t="str">
        <f aca="false">IF(B97="","",IF(INDEX($E$7:$E$336,ROW()-6+Settings!$B$7)&lt;&gt;"",INDEX($E$7:$E$336,ROW()-6+Settings!$B$7),E97+Settings!$B$7*D97/1440))</f>
        <v/>
      </c>
      <c r="W97" s="22" t="str">
        <f aca="false">IF(B97="","",IF(INDEX($E$7:$E$336,ROW()-6+Settings!$B$7+Settings!$B$8)&lt;&gt;"",INDEX($E$7:$E$336,ROW()-6+Settings!$B$7+Settings!$B$8),E97+(Settings!$B$7+Settings!$B$8)*D97/1440)+U97/1440)</f>
        <v/>
      </c>
      <c r="X97" s="18" t="str">
        <f aca="false">IF(B97="","",IF(INDEX($E$7:$E$336,ROW()-6+Settings!$B$7+Settings!$B$8)&lt;&gt;"","line","estimate"))</f>
        <v/>
      </c>
      <c r="Y97" s="25" t="str">
        <f aca="false">IF(B97="","",INT(W97-Settings!$B$6))</f>
        <v/>
      </c>
      <c r="Z97" s="19"/>
      <c r="AA97" s="18" t="str">
        <f aca="false">IF(B97="","",IF(AND(B97&lt;&gt;"Empty",F97=""),"part missing; ","")&amp;IF(AND(F97&lt;&gt;"",J97=""),"pieces missing; ","")&amp;IF(AND(F97&lt;&gt;"",O97=""),"part not on the Parts sheet; ","")&amp;IF(AND(B97="Empty",OR(F97&lt;&gt;"",K97&lt;&gt;"")),"empty tray with parts; ","")&amp;IF(AND(B97="Loaded",K97&lt;&gt;""),"second part: type Mixed; ","")&amp;IF(AND(Q97&lt;&gt;"",N(Q97)&gt;1),"over 100 % of the spec load; ","")&amp;IF(N(R97)&gt;Settings!$B$10,"over the tray maximum (kg); ","")&amp;IF(AND(K97&lt;&gt;"",IFERROR(INDEX(Parts!$C$6:$C$45,MATCH(K97,Parts!$A$6:$A$45,0)),O97)&lt;&gt;O97),"different processes in one tray; ","")&amp;IF(AND(S97&lt;&gt;"",T97=""),"rework reason missing; ",""))</f>
        <v/>
      </c>
    </row>
    <row r="98" customFormat="false" ht="15" hidden="false" customHeight="false" outlineLevel="0" collapsed="false">
      <c r="A98" s="18" t="str">
        <f aca="false">IF(B98="","",COUNTA(B$7:B98))</f>
        <v/>
      </c>
      <c r="B98" s="19"/>
      <c r="C98" s="20"/>
      <c r="D98" s="19" t="str">
        <f aca="false">IF(B98="","",IF(D97="",Report!$B$12,D97))</f>
        <v/>
      </c>
      <c r="E98" s="22" t="str">
        <f aca="false">IF(B98="","",IF(C98&lt;&gt;"",C98,E97+D97/1440+SUMIFS(Holds!$F$7:$F$46,Holds!$B$7:$B$46,"&gt;="&amp;E97,Holds!$B$7:$B$46,"&lt;"&amp;E97+D97/1440)/1440))</f>
        <v/>
      </c>
      <c r="F98" s="19"/>
      <c r="G98" s="19"/>
      <c r="H98" s="19"/>
      <c r="I98" s="19"/>
      <c r="J98" s="19"/>
      <c r="K98" s="19"/>
      <c r="L98" s="19"/>
      <c r="M98" s="19"/>
      <c r="N98" s="19"/>
      <c r="O98" s="18" t="str">
        <f aca="false">IF(F98="","",IFERROR(INDEX(Parts!$C$6:$C$45,MATCH(F98,Parts!$A$6:$A$45,0)),""))</f>
        <v/>
      </c>
      <c r="P98" s="18" t="str">
        <f aca="false">IF(F98="","",IFERROR(INDEX(Parts!$E$6:$E$45,MATCH(F98,Parts!$A$6:$A$45,0)),""))</f>
        <v/>
      </c>
      <c r="Q98" s="23" t="str">
        <f aca="false">IF(OR(J98="",P98="",P98=0),"",J98/P98+IF(OR(N98="",K98=""),0,IFERROR(N98/INDEX(Parts!$E$6:$E$45,MATCH(K98,Parts!$A$6:$A$45,0)),0)))</f>
        <v/>
      </c>
      <c r="R98" s="24" t="str">
        <f aca="false">IF(B98="","",IF(J98="",0,J98*IFERROR(INDEX(Parts!$F$6:$F$45,MATCH(F98,Parts!$A$6:$A$45,0)),0))+IF(N98="",0,N98*IFERROR(INDEX(Parts!$F$6:$F$45,MATCH(K98,Parts!$A$6:$A$45,0)),0)))</f>
        <v/>
      </c>
      <c r="S98" s="19"/>
      <c r="T98" s="19"/>
      <c r="U98" s="18" t="str">
        <f aca="false">IF(B98="","",IF(F98="",Settings!$B$9,IFERROR(INDEX(Parts!$H$6:$H$45,MATCH(F98,Parts!$A$6:$A$45,0))+0,Settings!$B$9)))</f>
        <v/>
      </c>
      <c r="V98" s="22" t="str">
        <f aca="false">IF(B98="","",IF(INDEX($E$7:$E$336,ROW()-6+Settings!$B$7)&lt;&gt;"",INDEX($E$7:$E$336,ROW()-6+Settings!$B$7),E98+Settings!$B$7*D98/1440))</f>
        <v/>
      </c>
      <c r="W98" s="22" t="str">
        <f aca="false">IF(B98="","",IF(INDEX($E$7:$E$336,ROW()-6+Settings!$B$7+Settings!$B$8)&lt;&gt;"",INDEX($E$7:$E$336,ROW()-6+Settings!$B$7+Settings!$B$8),E98+(Settings!$B$7+Settings!$B$8)*D98/1440)+U98/1440)</f>
        <v/>
      </c>
      <c r="X98" s="18" t="str">
        <f aca="false">IF(B98="","",IF(INDEX($E$7:$E$336,ROW()-6+Settings!$B$7+Settings!$B$8)&lt;&gt;"","line","estimate"))</f>
        <v/>
      </c>
      <c r="Y98" s="25" t="str">
        <f aca="false">IF(B98="","",INT(W98-Settings!$B$6))</f>
        <v/>
      </c>
      <c r="Z98" s="19"/>
      <c r="AA98" s="18" t="str">
        <f aca="false">IF(B98="","",IF(AND(B98&lt;&gt;"Empty",F98=""),"part missing; ","")&amp;IF(AND(F98&lt;&gt;"",J98=""),"pieces missing; ","")&amp;IF(AND(F98&lt;&gt;"",O98=""),"part not on the Parts sheet; ","")&amp;IF(AND(B98="Empty",OR(F98&lt;&gt;"",K98&lt;&gt;"")),"empty tray with parts; ","")&amp;IF(AND(B98="Loaded",K98&lt;&gt;""),"second part: type Mixed; ","")&amp;IF(AND(Q98&lt;&gt;"",N(Q98)&gt;1),"over 100 % of the spec load; ","")&amp;IF(N(R98)&gt;Settings!$B$10,"over the tray maximum (kg); ","")&amp;IF(AND(K98&lt;&gt;"",IFERROR(INDEX(Parts!$C$6:$C$45,MATCH(K98,Parts!$A$6:$A$45,0)),O98)&lt;&gt;O98),"different processes in one tray; ","")&amp;IF(AND(S98&lt;&gt;"",T98=""),"rework reason missing; ",""))</f>
        <v/>
      </c>
    </row>
    <row r="99" customFormat="false" ht="15" hidden="false" customHeight="false" outlineLevel="0" collapsed="false">
      <c r="A99" s="18" t="str">
        <f aca="false">IF(B99="","",COUNTA(B$7:B99))</f>
        <v/>
      </c>
      <c r="B99" s="19"/>
      <c r="C99" s="20"/>
      <c r="D99" s="19" t="str">
        <f aca="false">IF(B99="","",IF(D98="",Report!$B$12,D98))</f>
        <v/>
      </c>
      <c r="E99" s="22" t="str">
        <f aca="false">IF(B99="","",IF(C99&lt;&gt;"",C99,E98+D98/1440+SUMIFS(Holds!$F$7:$F$46,Holds!$B$7:$B$46,"&gt;="&amp;E98,Holds!$B$7:$B$46,"&lt;"&amp;E98+D98/1440)/1440))</f>
        <v/>
      </c>
      <c r="F99" s="19"/>
      <c r="G99" s="19"/>
      <c r="H99" s="19"/>
      <c r="I99" s="19"/>
      <c r="J99" s="19"/>
      <c r="K99" s="19"/>
      <c r="L99" s="19"/>
      <c r="M99" s="19"/>
      <c r="N99" s="19"/>
      <c r="O99" s="18" t="str">
        <f aca="false">IF(F99="","",IFERROR(INDEX(Parts!$C$6:$C$45,MATCH(F99,Parts!$A$6:$A$45,0)),""))</f>
        <v/>
      </c>
      <c r="P99" s="18" t="str">
        <f aca="false">IF(F99="","",IFERROR(INDEX(Parts!$E$6:$E$45,MATCH(F99,Parts!$A$6:$A$45,0)),""))</f>
        <v/>
      </c>
      <c r="Q99" s="23" t="str">
        <f aca="false">IF(OR(J99="",P99="",P99=0),"",J99/P99+IF(OR(N99="",K99=""),0,IFERROR(N99/INDEX(Parts!$E$6:$E$45,MATCH(K99,Parts!$A$6:$A$45,0)),0)))</f>
        <v/>
      </c>
      <c r="R99" s="24" t="str">
        <f aca="false">IF(B99="","",IF(J99="",0,J99*IFERROR(INDEX(Parts!$F$6:$F$45,MATCH(F99,Parts!$A$6:$A$45,0)),0))+IF(N99="",0,N99*IFERROR(INDEX(Parts!$F$6:$F$45,MATCH(K99,Parts!$A$6:$A$45,0)),0)))</f>
        <v/>
      </c>
      <c r="S99" s="19"/>
      <c r="T99" s="19"/>
      <c r="U99" s="18" t="str">
        <f aca="false">IF(B99="","",IF(F99="",Settings!$B$9,IFERROR(INDEX(Parts!$H$6:$H$45,MATCH(F99,Parts!$A$6:$A$45,0))+0,Settings!$B$9)))</f>
        <v/>
      </c>
      <c r="V99" s="22" t="str">
        <f aca="false">IF(B99="","",IF(INDEX($E$7:$E$336,ROW()-6+Settings!$B$7)&lt;&gt;"",INDEX($E$7:$E$336,ROW()-6+Settings!$B$7),E99+Settings!$B$7*D99/1440))</f>
        <v/>
      </c>
      <c r="W99" s="22" t="str">
        <f aca="false">IF(B99="","",IF(INDEX($E$7:$E$336,ROW()-6+Settings!$B$7+Settings!$B$8)&lt;&gt;"",INDEX($E$7:$E$336,ROW()-6+Settings!$B$7+Settings!$B$8),E99+(Settings!$B$7+Settings!$B$8)*D99/1440)+U99/1440)</f>
        <v/>
      </c>
      <c r="X99" s="18" t="str">
        <f aca="false">IF(B99="","",IF(INDEX($E$7:$E$336,ROW()-6+Settings!$B$7+Settings!$B$8)&lt;&gt;"","line","estimate"))</f>
        <v/>
      </c>
      <c r="Y99" s="25" t="str">
        <f aca="false">IF(B99="","",INT(W99-Settings!$B$6))</f>
        <v/>
      </c>
      <c r="Z99" s="19"/>
      <c r="AA99" s="18" t="str">
        <f aca="false">IF(B99="","",IF(AND(B99&lt;&gt;"Empty",F99=""),"part missing; ","")&amp;IF(AND(F99&lt;&gt;"",J99=""),"pieces missing; ","")&amp;IF(AND(F99&lt;&gt;"",O99=""),"part not on the Parts sheet; ","")&amp;IF(AND(B99="Empty",OR(F99&lt;&gt;"",K99&lt;&gt;"")),"empty tray with parts; ","")&amp;IF(AND(B99="Loaded",K99&lt;&gt;""),"second part: type Mixed; ","")&amp;IF(AND(Q99&lt;&gt;"",N(Q99)&gt;1),"over 100 % of the spec load; ","")&amp;IF(N(R99)&gt;Settings!$B$10,"over the tray maximum (kg); ","")&amp;IF(AND(K99&lt;&gt;"",IFERROR(INDEX(Parts!$C$6:$C$45,MATCH(K99,Parts!$A$6:$A$45,0)),O99)&lt;&gt;O99),"different processes in one tray; ","")&amp;IF(AND(S99&lt;&gt;"",T99=""),"rework reason missing; ",""))</f>
        <v/>
      </c>
    </row>
    <row r="100" customFormat="false" ht="15" hidden="false" customHeight="false" outlineLevel="0" collapsed="false">
      <c r="A100" s="18" t="str">
        <f aca="false">IF(B100="","",COUNTA(B$7:B100))</f>
        <v/>
      </c>
      <c r="B100" s="19"/>
      <c r="C100" s="20"/>
      <c r="D100" s="19" t="str">
        <f aca="false">IF(B100="","",IF(D99="",Report!$B$12,D99))</f>
        <v/>
      </c>
      <c r="E100" s="22" t="str">
        <f aca="false">IF(B100="","",IF(C100&lt;&gt;"",C100,E99+D99/1440+SUMIFS(Holds!$F$7:$F$46,Holds!$B$7:$B$46,"&gt;="&amp;E99,Holds!$B$7:$B$46,"&lt;"&amp;E99+D99/1440)/1440))</f>
        <v/>
      </c>
      <c r="F100" s="19"/>
      <c r="G100" s="19"/>
      <c r="H100" s="19"/>
      <c r="I100" s="19"/>
      <c r="J100" s="19"/>
      <c r="K100" s="19"/>
      <c r="L100" s="19"/>
      <c r="M100" s="19"/>
      <c r="N100" s="19"/>
      <c r="O100" s="18" t="str">
        <f aca="false">IF(F100="","",IFERROR(INDEX(Parts!$C$6:$C$45,MATCH(F100,Parts!$A$6:$A$45,0)),""))</f>
        <v/>
      </c>
      <c r="P100" s="18" t="str">
        <f aca="false">IF(F100="","",IFERROR(INDEX(Parts!$E$6:$E$45,MATCH(F100,Parts!$A$6:$A$45,0)),""))</f>
        <v/>
      </c>
      <c r="Q100" s="23" t="str">
        <f aca="false">IF(OR(J100="",P100="",P100=0),"",J100/P100+IF(OR(N100="",K100=""),0,IFERROR(N100/INDEX(Parts!$E$6:$E$45,MATCH(K100,Parts!$A$6:$A$45,0)),0)))</f>
        <v/>
      </c>
      <c r="R100" s="24" t="str">
        <f aca="false">IF(B100="","",IF(J100="",0,J100*IFERROR(INDEX(Parts!$F$6:$F$45,MATCH(F100,Parts!$A$6:$A$45,0)),0))+IF(N100="",0,N100*IFERROR(INDEX(Parts!$F$6:$F$45,MATCH(K100,Parts!$A$6:$A$45,0)),0)))</f>
        <v/>
      </c>
      <c r="S100" s="19"/>
      <c r="T100" s="19"/>
      <c r="U100" s="18" t="str">
        <f aca="false">IF(B100="","",IF(F100="",Settings!$B$9,IFERROR(INDEX(Parts!$H$6:$H$45,MATCH(F100,Parts!$A$6:$A$45,0))+0,Settings!$B$9)))</f>
        <v/>
      </c>
      <c r="V100" s="22" t="str">
        <f aca="false">IF(B100="","",IF(INDEX($E$7:$E$336,ROW()-6+Settings!$B$7)&lt;&gt;"",INDEX($E$7:$E$336,ROW()-6+Settings!$B$7),E100+Settings!$B$7*D100/1440))</f>
        <v/>
      </c>
      <c r="W100" s="22" t="str">
        <f aca="false">IF(B100="","",IF(INDEX($E$7:$E$336,ROW()-6+Settings!$B$7+Settings!$B$8)&lt;&gt;"",INDEX($E$7:$E$336,ROW()-6+Settings!$B$7+Settings!$B$8),E100+(Settings!$B$7+Settings!$B$8)*D100/1440)+U100/1440)</f>
        <v/>
      </c>
      <c r="X100" s="18" t="str">
        <f aca="false">IF(B100="","",IF(INDEX($E$7:$E$336,ROW()-6+Settings!$B$7+Settings!$B$8)&lt;&gt;"","line","estimate"))</f>
        <v/>
      </c>
      <c r="Y100" s="25" t="str">
        <f aca="false">IF(B100="","",INT(W100-Settings!$B$6))</f>
        <v/>
      </c>
      <c r="Z100" s="19"/>
      <c r="AA100" s="18" t="str">
        <f aca="false">IF(B100="","",IF(AND(B100&lt;&gt;"Empty",F100=""),"part missing; ","")&amp;IF(AND(F100&lt;&gt;"",J100=""),"pieces missing; ","")&amp;IF(AND(F100&lt;&gt;"",O100=""),"part not on the Parts sheet; ","")&amp;IF(AND(B100="Empty",OR(F100&lt;&gt;"",K100&lt;&gt;"")),"empty tray with parts; ","")&amp;IF(AND(B100="Loaded",K100&lt;&gt;""),"second part: type Mixed; ","")&amp;IF(AND(Q100&lt;&gt;"",N(Q100)&gt;1),"over 100 % of the spec load; ","")&amp;IF(N(R100)&gt;Settings!$B$10,"over the tray maximum (kg); ","")&amp;IF(AND(K100&lt;&gt;"",IFERROR(INDEX(Parts!$C$6:$C$45,MATCH(K100,Parts!$A$6:$A$45,0)),O100)&lt;&gt;O100),"different processes in one tray; ","")&amp;IF(AND(S100&lt;&gt;"",T100=""),"rework reason missing; ",""))</f>
        <v/>
      </c>
    </row>
    <row r="101" customFormat="false" ht="15" hidden="false" customHeight="false" outlineLevel="0" collapsed="false">
      <c r="A101" s="18" t="str">
        <f aca="false">IF(B101="","",COUNTA(B$7:B101))</f>
        <v/>
      </c>
      <c r="B101" s="19"/>
      <c r="C101" s="20"/>
      <c r="D101" s="19" t="str">
        <f aca="false">IF(B101="","",IF(D100="",Report!$B$12,D100))</f>
        <v/>
      </c>
      <c r="E101" s="22" t="str">
        <f aca="false">IF(B101="","",IF(C101&lt;&gt;"",C101,E100+D100/1440+SUMIFS(Holds!$F$7:$F$46,Holds!$B$7:$B$46,"&gt;="&amp;E100,Holds!$B$7:$B$46,"&lt;"&amp;E100+D100/1440)/1440))</f>
        <v/>
      </c>
      <c r="F101" s="19"/>
      <c r="G101" s="19"/>
      <c r="H101" s="19"/>
      <c r="I101" s="19"/>
      <c r="J101" s="19"/>
      <c r="K101" s="19"/>
      <c r="L101" s="19"/>
      <c r="M101" s="19"/>
      <c r="N101" s="19"/>
      <c r="O101" s="18" t="str">
        <f aca="false">IF(F101="","",IFERROR(INDEX(Parts!$C$6:$C$45,MATCH(F101,Parts!$A$6:$A$45,0)),""))</f>
        <v/>
      </c>
      <c r="P101" s="18" t="str">
        <f aca="false">IF(F101="","",IFERROR(INDEX(Parts!$E$6:$E$45,MATCH(F101,Parts!$A$6:$A$45,0)),""))</f>
        <v/>
      </c>
      <c r="Q101" s="23" t="str">
        <f aca="false">IF(OR(J101="",P101="",P101=0),"",J101/P101+IF(OR(N101="",K101=""),0,IFERROR(N101/INDEX(Parts!$E$6:$E$45,MATCH(K101,Parts!$A$6:$A$45,0)),0)))</f>
        <v/>
      </c>
      <c r="R101" s="24" t="str">
        <f aca="false">IF(B101="","",IF(J101="",0,J101*IFERROR(INDEX(Parts!$F$6:$F$45,MATCH(F101,Parts!$A$6:$A$45,0)),0))+IF(N101="",0,N101*IFERROR(INDEX(Parts!$F$6:$F$45,MATCH(K101,Parts!$A$6:$A$45,0)),0)))</f>
        <v/>
      </c>
      <c r="S101" s="19"/>
      <c r="T101" s="19"/>
      <c r="U101" s="18" t="str">
        <f aca="false">IF(B101="","",IF(F101="",Settings!$B$9,IFERROR(INDEX(Parts!$H$6:$H$45,MATCH(F101,Parts!$A$6:$A$45,0))+0,Settings!$B$9)))</f>
        <v/>
      </c>
      <c r="V101" s="22" t="str">
        <f aca="false">IF(B101="","",IF(INDEX($E$7:$E$336,ROW()-6+Settings!$B$7)&lt;&gt;"",INDEX($E$7:$E$336,ROW()-6+Settings!$B$7),E101+Settings!$B$7*D101/1440))</f>
        <v/>
      </c>
      <c r="W101" s="22" t="str">
        <f aca="false">IF(B101="","",IF(INDEX($E$7:$E$336,ROW()-6+Settings!$B$7+Settings!$B$8)&lt;&gt;"",INDEX($E$7:$E$336,ROW()-6+Settings!$B$7+Settings!$B$8),E101+(Settings!$B$7+Settings!$B$8)*D101/1440)+U101/1440)</f>
        <v/>
      </c>
      <c r="X101" s="18" t="str">
        <f aca="false">IF(B101="","",IF(INDEX($E$7:$E$336,ROW()-6+Settings!$B$7+Settings!$B$8)&lt;&gt;"","line","estimate"))</f>
        <v/>
      </c>
      <c r="Y101" s="25" t="str">
        <f aca="false">IF(B101="","",INT(W101-Settings!$B$6))</f>
        <v/>
      </c>
      <c r="Z101" s="19"/>
      <c r="AA101" s="18" t="str">
        <f aca="false">IF(B101="","",IF(AND(B101&lt;&gt;"Empty",F101=""),"part missing; ","")&amp;IF(AND(F101&lt;&gt;"",J101=""),"pieces missing; ","")&amp;IF(AND(F101&lt;&gt;"",O101=""),"part not on the Parts sheet; ","")&amp;IF(AND(B101="Empty",OR(F101&lt;&gt;"",K101&lt;&gt;"")),"empty tray with parts; ","")&amp;IF(AND(B101="Loaded",K101&lt;&gt;""),"second part: type Mixed; ","")&amp;IF(AND(Q101&lt;&gt;"",N(Q101)&gt;1),"over 100 % of the spec load; ","")&amp;IF(N(R101)&gt;Settings!$B$10,"over the tray maximum (kg); ","")&amp;IF(AND(K101&lt;&gt;"",IFERROR(INDEX(Parts!$C$6:$C$45,MATCH(K101,Parts!$A$6:$A$45,0)),O101)&lt;&gt;O101),"different processes in one tray; ","")&amp;IF(AND(S101&lt;&gt;"",T101=""),"rework reason missing; ",""))</f>
        <v/>
      </c>
    </row>
    <row r="102" customFormat="false" ht="15" hidden="false" customHeight="false" outlineLevel="0" collapsed="false">
      <c r="A102" s="18" t="str">
        <f aca="false">IF(B102="","",COUNTA(B$7:B102))</f>
        <v/>
      </c>
      <c r="B102" s="19"/>
      <c r="C102" s="20"/>
      <c r="D102" s="19" t="str">
        <f aca="false">IF(B102="","",IF(D101="",Report!$B$12,D101))</f>
        <v/>
      </c>
      <c r="E102" s="22" t="str">
        <f aca="false">IF(B102="","",IF(C102&lt;&gt;"",C102,E101+D101/1440+SUMIFS(Holds!$F$7:$F$46,Holds!$B$7:$B$46,"&gt;="&amp;E101,Holds!$B$7:$B$46,"&lt;"&amp;E101+D101/1440)/1440))</f>
        <v/>
      </c>
      <c r="F102" s="19"/>
      <c r="G102" s="19"/>
      <c r="H102" s="19"/>
      <c r="I102" s="19"/>
      <c r="J102" s="19"/>
      <c r="K102" s="19"/>
      <c r="L102" s="19"/>
      <c r="M102" s="19"/>
      <c r="N102" s="19"/>
      <c r="O102" s="18" t="str">
        <f aca="false">IF(F102="","",IFERROR(INDEX(Parts!$C$6:$C$45,MATCH(F102,Parts!$A$6:$A$45,0)),""))</f>
        <v/>
      </c>
      <c r="P102" s="18" t="str">
        <f aca="false">IF(F102="","",IFERROR(INDEX(Parts!$E$6:$E$45,MATCH(F102,Parts!$A$6:$A$45,0)),""))</f>
        <v/>
      </c>
      <c r="Q102" s="23" t="str">
        <f aca="false">IF(OR(J102="",P102="",P102=0),"",J102/P102+IF(OR(N102="",K102=""),0,IFERROR(N102/INDEX(Parts!$E$6:$E$45,MATCH(K102,Parts!$A$6:$A$45,0)),0)))</f>
        <v/>
      </c>
      <c r="R102" s="24" t="str">
        <f aca="false">IF(B102="","",IF(J102="",0,J102*IFERROR(INDEX(Parts!$F$6:$F$45,MATCH(F102,Parts!$A$6:$A$45,0)),0))+IF(N102="",0,N102*IFERROR(INDEX(Parts!$F$6:$F$45,MATCH(K102,Parts!$A$6:$A$45,0)),0)))</f>
        <v/>
      </c>
      <c r="S102" s="19"/>
      <c r="T102" s="19"/>
      <c r="U102" s="18" t="str">
        <f aca="false">IF(B102="","",IF(F102="",Settings!$B$9,IFERROR(INDEX(Parts!$H$6:$H$45,MATCH(F102,Parts!$A$6:$A$45,0))+0,Settings!$B$9)))</f>
        <v/>
      </c>
      <c r="V102" s="22" t="str">
        <f aca="false">IF(B102="","",IF(INDEX($E$7:$E$336,ROW()-6+Settings!$B$7)&lt;&gt;"",INDEX($E$7:$E$336,ROW()-6+Settings!$B$7),E102+Settings!$B$7*D102/1440))</f>
        <v/>
      </c>
      <c r="W102" s="22" t="str">
        <f aca="false">IF(B102="","",IF(INDEX($E$7:$E$336,ROW()-6+Settings!$B$7+Settings!$B$8)&lt;&gt;"",INDEX($E$7:$E$336,ROW()-6+Settings!$B$7+Settings!$B$8),E102+(Settings!$B$7+Settings!$B$8)*D102/1440)+U102/1440)</f>
        <v/>
      </c>
      <c r="X102" s="18" t="str">
        <f aca="false">IF(B102="","",IF(INDEX($E$7:$E$336,ROW()-6+Settings!$B$7+Settings!$B$8)&lt;&gt;"","line","estimate"))</f>
        <v/>
      </c>
      <c r="Y102" s="25" t="str">
        <f aca="false">IF(B102="","",INT(W102-Settings!$B$6))</f>
        <v/>
      </c>
      <c r="Z102" s="19"/>
      <c r="AA102" s="18" t="str">
        <f aca="false">IF(B102="","",IF(AND(B102&lt;&gt;"Empty",F102=""),"part missing; ","")&amp;IF(AND(F102&lt;&gt;"",J102=""),"pieces missing; ","")&amp;IF(AND(F102&lt;&gt;"",O102=""),"part not on the Parts sheet; ","")&amp;IF(AND(B102="Empty",OR(F102&lt;&gt;"",K102&lt;&gt;"")),"empty tray with parts; ","")&amp;IF(AND(B102="Loaded",K102&lt;&gt;""),"second part: type Mixed; ","")&amp;IF(AND(Q102&lt;&gt;"",N(Q102)&gt;1),"over 100 % of the spec load; ","")&amp;IF(N(R102)&gt;Settings!$B$10,"over the tray maximum (kg); ","")&amp;IF(AND(K102&lt;&gt;"",IFERROR(INDEX(Parts!$C$6:$C$45,MATCH(K102,Parts!$A$6:$A$45,0)),O102)&lt;&gt;O102),"different processes in one tray; ","")&amp;IF(AND(S102&lt;&gt;"",T102=""),"rework reason missing; ",""))</f>
        <v/>
      </c>
    </row>
    <row r="103" customFormat="false" ht="15" hidden="false" customHeight="false" outlineLevel="0" collapsed="false">
      <c r="A103" s="18" t="str">
        <f aca="false">IF(B103="","",COUNTA(B$7:B103))</f>
        <v/>
      </c>
      <c r="B103" s="19"/>
      <c r="C103" s="20"/>
      <c r="D103" s="19" t="str">
        <f aca="false">IF(B103="","",IF(D102="",Report!$B$12,D102))</f>
        <v/>
      </c>
      <c r="E103" s="22" t="str">
        <f aca="false">IF(B103="","",IF(C103&lt;&gt;"",C103,E102+D102/1440+SUMIFS(Holds!$F$7:$F$46,Holds!$B$7:$B$46,"&gt;="&amp;E102,Holds!$B$7:$B$46,"&lt;"&amp;E102+D102/1440)/1440))</f>
        <v/>
      </c>
      <c r="F103" s="19"/>
      <c r="G103" s="19"/>
      <c r="H103" s="19"/>
      <c r="I103" s="19"/>
      <c r="J103" s="19"/>
      <c r="K103" s="19"/>
      <c r="L103" s="19"/>
      <c r="M103" s="19"/>
      <c r="N103" s="19"/>
      <c r="O103" s="18" t="str">
        <f aca="false">IF(F103="","",IFERROR(INDEX(Parts!$C$6:$C$45,MATCH(F103,Parts!$A$6:$A$45,0)),""))</f>
        <v/>
      </c>
      <c r="P103" s="18" t="str">
        <f aca="false">IF(F103="","",IFERROR(INDEX(Parts!$E$6:$E$45,MATCH(F103,Parts!$A$6:$A$45,0)),""))</f>
        <v/>
      </c>
      <c r="Q103" s="23" t="str">
        <f aca="false">IF(OR(J103="",P103="",P103=0),"",J103/P103+IF(OR(N103="",K103=""),0,IFERROR(N103/INDEX(Parts!$E$6:$E$45,MATCH(K103,Parts!$A$6:$A$45,0)),0)))</f>
        <v/>
      </c>
      <c r="R103" s="24" t="str">
        <f aca="false">IF(B103="","",IF(J103="",0,J103*IFERROR(INDEX(Parts!$F$6:$F$45,MATCH(F103,Parts!$A$6:$A$45,0)),0))+IF(N103="",0,N103*IFERROR(INDEX(Parts!$F$6:$F$45,MATCH(K103,Parts!$A$6:$A$45,0)),0)))</f>
        <v/>
      </c>
      <c r="S103" s="19"/>
      <c r="T103" s="19"/>
      <c r="U103" s="18" t="str">
        <f aca="false">IF(B103="","",IF(F103="",Settings!$B$9,IFERROR(INDEX(Parts!$H$6:$H$45,MATCH(F103,Parts!$A$6:$A$45,0))+0,Settings!$B$9)))</f>
        <v/>
      </c>
      <c r="V103" s="22" t="str">
        <f aca="false">IF(B103="","",IF(INDEX($E$7:$E$336,ROW()-6+Settings!$B$7)&lt;&gt;"",INDEX($E$7:$E$336,ROW()-6+Settings!$B$7),E103+Settings!$B$7*D103/1440))</f>
        <v/>
      </c>
      <c r="W103" s="22" t="str">
        <f aca="false">IF(B103="","",IF(INDEX($E$7:$E$336,ROW()-6+Settings!$B$7+Settings!$B$8)&lt;&gt;"",INDEX($E$7:$E$336,ROW()-6+Settings!$B$7+Settings!$B$8),E103+(Settings!$B$7+Settings!$B$8)*D103/1440)+U103/1440)</f>
        <v/>
      </c>
      <c r="X103" s="18" t="str">
        <f aca="false">IF(B103="","",IF(INDEX($E$7:$E$336,ROW()-6+Settings!$B$7+Settings!$B$8)&lt;&gt;"","line","estimate"))</f>
        <v/>
      </c>
      <c r="Y103" s="25" t="str">
        <f aca="false">IF(B103="","",INT(W103-Settings!$B$6))</f>
        <v/>
      </c>
      <c r="Z103" s="19"/>
      <c r="AA103" s="18" t="str">
        <f aca="false">IF(B103="","",IF(AND(B103&lt;&gt;"Empty",F103=""),"part missing; ","")&amp;IF(AND(F103&lt;&gt;"",J103=""),"pieces missing; ","")&amp;IF(AND(F103&lt;&gt;"",O103=""),"part not on the Parts sheet; ","")&amp;IF(AND(B103="Empty",OR(F103&lt;&gt;"",K103&lt;&gt;"")),"empty tray with parts; ","")&amp;IF(AND(B103="Loaded",K103&lt;&gt;""),"second part: type Mixed; ","")&amp;IF(AND(Q103&lt;&gt;"",N(Q103)&gt;1),"over 100 % of the spec load; ","")&amp;IF(N(R103)&gt;Settings!$B$10,"over the tray maximum (kg); ","")&amp;IF(AND(K103&lt;&gt;"",IFERROR(INDEX(Parts!$C$6:$C$45,MATCH(K103,Parts!$A$6:$A$45,0)),O103)&lt;&gt;O103),"different processes in one tray; ","")&amp;IF(AND(S103&lt;&gt;"",T103=""),"rework reason missing; ",""))</f>
        <v/>
      </c>
    </row>
    <row r="104" customFormat="false" ht="15" hidden="false" customHeight="false" outlineLevel="0" collapsed="false">
      <c r="A104" s="18" t="str">
        <f aca="false">IF(B104="","",COUNTA(B$7:B104))</f>
        <v/>
      </c>
      <c r="B104" s="19"/>
      <c r="C104" s="20"/>
      <c r="D104" s="19" t="str">
        <f aca="false">IF(B104="","",IF(D103="",Report!$B$12,D103))</f>
        <v/>
      </c>
      <c r="E104" s="22" t="str">
        <f aca="false">IF(B104="","",IF(C104&lt;&gt;"",C104,E103+D103/1440+SUMIFS(Holds!$F$7:$F$46,Holds!$B$7:$B$46,"&gt;="&amp;E103,Holds!$B$7:$B$46,"&lt;"&amp;E103+D103/1440)/1440))</f>
        <v/>
      </c>
      <c r="F104" s="19"/>
      <c r="G104" s="19"/>
      <c r="H104" s="19"/>
      <c r="I104" s="19"/>
      <c r="J104" s="19"/>
      <c r="K104" s="19"/>
      <c r="L104" s="19"/>
      <c r="M104" s="19"/>
      <c r="N104" s="19"/>
      <c r="O104" s="18" t="str">
        <f aca="false">IF(F104="","",IFERROR(INDEX(Parts!$C$6:$C$45,MATCH(F104,Parts!$A$6:$A$45,0)),""))</f>
        <v/>
      </c>
      <c r="P104" s="18" t="str">
        <f aca="false">IF(F104="","",IFERROR(INDEX(Parts!$E$6:$E$45,MATCH(F104,Parts!$A$6:$A$45,0)),""))</f>
        <v/>
      </c>
      <c r="Q104" s="23" t="str">
        <f aca="false">IF(OR(J104="",P104="",P104=0),"",J104/P104+IF(OR(N104="",K104=""),0,IFERROR(N104/INDEX(Parts!$E$6:$E$45,MATCH(K104,Parts!$A$6:$A$45,0)),0)))</f>
        <v/>
      </c>
      <c r="R104" s="24" t="str">
        <f aca="false">IF(B104="","",IF(J104="",0,J104*IFERROR(INDEX(Parts!$F$6:$F$45,MATCH(F104,Parts!$A$6:$A$45,0)),0))+IF(N104="",0,N104*IFERROR(INDEX(Parts!$F$6:$F$45,MATCH(K104,Parts!$A$6:$A$45,0)),0)))</f>
        <v/>
      </c>
      <c r="S104" s="19"/>
      <c r="T104" s="19"/>
      <c r="U104" s="18" t="str">
        <f aca="false">IF(B104="","",IF(F104="",Settings!$B$9,IFERROR(INDEX(Parts!$H$6:$H$45,MATCH(F104,Parts!$A$6:$A$45,0))+0,Settings!$B$9)))</f>
        <v/>
      </c>
      <c r="V104" s="22" t="str">
        <f aca="false">IF(B104="","",IF(INDEX($E$7:$E$336,ROW()-6+Settings!$B$7)&lt;&gt;"",INDEX($E$7:$E$336,ROW()-6+Settings!$B$7),E104+Settings!$B$7*D104/1440))</f>
        <v/>
      </c>
      <c r="W104" s="22" t="str">
        <f aca="false">IF(B104="","",IF(INDEX($E$7:$E$336,ROW()-6+Settings!$B$7+Settings!$B$8)&lt;&gt;"",INDEX($E$7:$E$336,ROW()-6+Settings!$B$7+Settings!$B$8),E104+(Settings!$B$7+Settings!$B$8)*D104/1440)+U104/1440)</f>
        <v/>
      </c>
      <c r="X104" s="18" t="str">
        <f aca="false">IF(B104="","",IF(INDEX($E$7:$E$336,ROW()-6+Settings!$B$7+Settings!$B$8)&lt;&gt;"","line","estimate"))</f>
        <v/>
      </c>
      <c r="Y104" s="25" t="str">
        <f aca="false">IF(B104="","",INT(W104-Settings!$B$6))</f>
        <v/>
      </c>
      <c r="Z104" s="19"/>
      <c r="AA104" s="18" t="str">
        <f aca="false">IF(B104="","",IF(AND(B104&lt;&gt;"Empty",F104=""),"part missing; ","")&amp;IF(AND(F104&lt;&gt;"",J104=""),"pieces missing; ","")&amp;IF(AND(F104&lt;&gt;"",O104=""),"part not on the Parts sheet; ","")&amp;IF(AND(B104="Empty",OR(F104&lt;&gt;"",K104&lt;&gt;"")),"empty tray with parts; ","")&amp;IF(AND(B104="Loaded",K104&lt;&gt;""),"second part: type Mixed; ","")&amp;IF(AND(Q104&lt;&gt;"",N(Q104)&gt;1),"over 100 % of the spec load; ","")&amp;IF(N(R104)&gt;Settings!$B$10,"over the tray maximum (kg); ","")&amp;IF(AND(K104&lt;&gt;"",IFERROR(INDEX(Parts!$C$6:$C$45,MATCH(K104,Parts!$A$6:$A$45,0)),O104)&lt;&gt;O104),"different processes in one tray; ","")&amp;IF(AND(S104&lt;&gt;"",T104=""),"rework reason missing; ",""))</f>
        <v/>
      </c>
    </row>
    <row r="105" customFormat="false" ht="15" hidden="false" customHeight="false" outlineLevel="0" collapsed="false">
      <c r="A105" s="18" t="str">
        <f aca="false">IF(B105="","",COUNTA(B$7:B105))</f>
        <v/>
      </c>
      <c r="B105" s="19"/>
      <c r="C105" s="20"/>
      <c r="D105" s="19" t="str">
        <f aca="false">IF(B105="","",IF(D104="",Report!$B$12,D104))</f>
        <v/>
      </c>
      <c r="E105" s="22" t="str">
        <f aca="false">IF(B105="","",IF(C105&lt;&gt;"",C105,E104+D104/1440+SUMIFS(Holds!$F$7:$F$46,Holds!$B$7:$B$46,"&gt;="&amp;E104,Holds!$B$7:$B$46,"&lt;"&amp;E104+D104/1440)/1440))</f>
        <v/>
      </c>
      <c r="F105" s="19"/>
      <c r="G105" s="19"/>
      <c r="H105" s="19"/>
      <c r="I105" s="19"/>
      <c r="J105" s="19"/>
      <c r="K105" s="19"/>
      <c r="L105" s="19"/>
      <c r="M105" s="19"/>
      <c r="N105" s="19"/>
      <c r="O105" s="18" t="str">
        <f aca="false">IF(F105="","",IFERROR(INDEX(Parts!$C$6:$C$45,MATCH(F105,Parts!$A$6:$A$45,0)),""))</f>
        <v/>
      </c>
      <c r="P105" s="18" t="str">
        <f aca="false">IF(F105="","",IFERROR(INDEX(Parts!$E$6:$E$45,MATCH(F105,Parts!$A$6:$A$45,0)),""))</f>
        <v/>
      </c>
      <c r="Q105" s="23" t="str">
        <f aca="false">IF(OR(J105="",P105="",P105=0),"",J105/P105+IF(OR(N105="",K105=""),0,IFERROR(N105/INDEX(Parts!$E$6:$E$45,MATCH(K105,Parts!$A$6:$A$45,0)),0)))</f>
        <v/>
      </c>
      <c r="R105" s="24" t="str">
        <f aca="false">IF(B105="","",IF(J105="",0,J105*IFERROR(INDEX(Parts!$F$6:$F$45,MATCH(F105,Parts!$A$6:$A$45,0)),0))+IF(N105="",0,N105*IFERROR(INDEX(Parts!$F$6:$F$45,MATCH(K105,Parts!$A$6:$A$45,0)),0)))</f>
        <v/>
      </c>
      <c r="S105" s="19"/>
      <c r="T105" s="19"/>
      <c r="U105" s="18" t="str">
        <f aca="false">IF(B105="","",IF(F105="",Settings!$B$9,IFERROR(INDEX(Parts!$H$6:$H$45,MATCH(F105,Parts!$A$6:$A$45,0))+0,Settings!$B$9)))</f>
        <v/>
      </c>
      <c r="V105" s="22" t="str">
        <f aca="false">IF(B105="","",IF(INDEX($E$7:$E$336,ROW()-6+Settings!$B$7)&lt;&gt;"",INDEX($E$7:$E$336,ROW()-6+Settings!$B$7),E105+Settings!$B$7*D105/1440))</f>
        <v/>
      </c>
      <c r="W105" s="22" t="str">
        <f aca="false">IF(B105="","",IF(INDEX($E$7:$E$336,ROW()-6+Settings!$B$7+Settings!$B$8)&lt;&gt;"",INDEX($E$7:$E$336,ROW()-6+Settings!$B$7+Settings!$B$8),E105+(Settings!$B$7+Settings!$B$8)*D105/1440)+U105/1440)</f>
        <v/>
      </c>
      <c r="X105" s="18" t="str">
        <f aca="false">IF(B105="","",IF(INDEX($E$7:$E$336,ROW()-6+Settings!$B$7+Settings!$B$8)&lt;&gt;"","line","estimate"))</f>
        <v/>
      </c>
      <c r="Y105" s="25" t="str">
        <f aca="false">IF(B105="","",INT(W105-Settings!$B$6))</f>
        <v/>
      </c>
      <c r="Z105" s="19"/>
      <c r="AA105" s="18" t="str">
        <f aca="false">IF(B105="","",IF(AND(B105&lt;&gt;"Empty",F105=""),"part missing; ","")&amp;IF(AND(F105&lt;&gt;"",J105=""),"pieces missing; ","")&amp;IF(AND(F105&lt;&gt;"",O105=""),"part not on the Parts sheet; ","")&amp;IF(AND(B105="Empty",OR(F105&lt;&gt;"",K105&lt;&gt;"")),"empty tray with parts; ","")&amp;IF(AND(B105="Loaded",K105&lt;&gt;""),"second part: type Mixed; ","")&amp;IF(AND(Q105&lt;&gt;"",N(Q105)&gt;1),"over 100 % of the spec load; ","")&amp;IF(N(R105)&gt;Settings!$B$10,"over the tray maximum (kg); ","")&amp;IF(AND(K105&lt;&gt;"",IFERROR(INDEX(Parts!$C$6:$C$45,MATCH(K105,Parts!$A$6:$A$45,0)),O105)&lt;&gt;O105),"different processes in one tray; ","")&amp;IF(AND(S105&lt;&gt;"",T105=""),"rework reason missing; ",""))</f>
        <v/>
      </c>
    </row>
    <row r="106" customFormat="false" ht="15" hidden="false" customHeight="false" outlineLevel="0" collapsed="false">
      <c r="A106" s="18" t="str">
        <f aca="false">IF(B106="","",COUNTA(B$7:B106))</f>
        <v/>
      </c>
      <c r="B106" s="19"/>
      <c r="C106" s="20"/>
      <c r="D106" s="19" t="str">
        <f aca="false">IF(B106="","",IF(D105="",Report!$B$12,D105))</f>
        <v/>
      </c>
      <c r="E106" s="22" t="str">
        <f aca="false">IF(B106="","",IF(C106&lt;&gt;"",C106,E105+D105/1440+SUMIFS(Holds!$F$7:$F$46,Holds!$B$7:$B$46,"&gt;="&amp;E105,Holds!$B$7:$B$46,"&lt;"&amp;E105+D105/1440)/1440))</f>
        <v/>
      </c>
      <c r="F106" s="19"/>
      <c r="G106" s="19"/>
      <c r="H106" s="19"/>
      <c r="I106" s="19"/>
      <c r="J106" s="19"/>
      <c r="K106" s="19"/>
      <c r="L106" s="19"/>
      <c r="M106" s="19"/>
      <c r="N106" s="19"/>
      <c r="O106" s="18" t="str">
        <f aca="false">IF(F106="","",IFERROR(INDEX(Parts!$C$6:$C$45,MATCH(F106,Parts!$A$6:$A$45,0)),""))</f>
        <v/>
      </c>
      <c r="P106" s="18" t="str">
        <f aca="false">IF(F106="","",IFERROR(INDEX(Parts!$E$6:$E$45,MATCH(F106,Parts!$A$6:$A$45,0)),""))</f>
        <v/>
      </c>
      <c r="Q106" s="23" t="str">
        <f aca="false">IF(OR(J106="",P106="",P106=0),"",J106/P106+IF(OR(N106="",K106=""),0,IFERROR(N106/INDEX(Parts!$E$6:$E$45,MATCH(K106,Parts!$A$6:$A$45,0)),0)))</f>
        <v/>
      </c>
      <c r="R106" s="24" t="str">
        <f aca="false">IF(B106="","",IF(J106="",0,J106*IFERROR(INDEX(Parts!$F$6:$F$45,MATCH(F106,Parts!$A$6:$A$45,0)),0))+IF(N106="",0,N106*IFERROR(INDEX(Parts!$F$6:$F$45,MATCH(K106,Parts!$A$6:$A$45,0)),0)))</f>
        <v/>
      </c>
      <c r="S106" s="19"/>
      <c r="T106" s="19"/>
      <c r="U106" s="18" t="str">
        <f aca="false">IF(B106="","",IF(F106="",Settings!$B$9,IFERROR(INDEX(Parts!$H$6:$H$45,MATCH(F106,Parts!$A$6:$A$45,0))+0,Settings!$B$9)))</f>
        <v/>
      </c>
      <c r="V106" s="22" t="str">
        <f aca="false">IF(B106="","",IF(INDEX($E$7:$E$336,ROW()-6+Settings!$B$7)&lt;&gt;"",INDEX($E$7:$E$336,ROW()-6+Settings!$B$7),E106+Settings!$B$7*D106/1440))</f>
        <v/>
      </c>
      <c r="W106" s="22" t="str">
        <f aca="false">IF(B106="","",IF(INDEX($E$7:$E$336,ROW()-6+Settings!$B$7+Settings!$B$8)&lt;&gt;"",INDEX($E$7:$E$336,ROW()-6+Settings!$B$7+Settings!$B$8),E106+(Settings!$B$7+Settings!$B$8)*D106/1440)+U106/1440)</f>
        <v/>
      </c>
      <c r="X106" s="18" t="str">
        <f aca="false">IF(B106="","",IF(INDEX($E$7:$E$336,ROW()-6+Settings!$B$7+Settings!$B$8)&lt;&gt;"","line","estimate"))</f>
        <v/>
      </c>
      <c r="Y106" s="25" t="str">
        <f aca="false">IF(B106="","",INT(W106-Settings!$B$6))</f>
        <v/>
      </c>
      <c r="Z106" s="19"/>
      <c r="AA106" s="18" t="str">
        <f aca="false">IF(B106="","",IF(AND(B106&lt;&gt;"Empty",F106=""),"part missing; ","")&amp;IF(AND(F106&lt;&gt;"",J106=""),"pieces missing; ","")&amp;IF(AND(F106&lt;&gt;"",O106=""),"part not on the Parts sheet; ","")&amp;IF(AND(B106="Empty",OR(F106&lt;&gt;"",K106&lt;&gt;"")),"empty tray with parts; ","")&amp;IF(AND(B106="Loaded",K106&lt;&gt;""),"second part: type Mixed; ","")&amp;IF(AND(Q106&lt;&gt;"",N(Q106)&gt;1),"over 100 % of the spec load; ","")&amp;IF(N(R106)&gt;Settings!$B$10,"over the tray maximum (kg); ","")&amp;IF(AND(K106&lt;&gt;"",IFERROR(INDEX(Parts!$C$6:$C$45,MATCH(K106,Parts!$A$6:$A$45,0)),O106)&lt;&gt;O106),"different processes in one tray; ","")&amp;IF(AND(S106&lt;&gt;"",T106=""),"rework reason missing; ",""))</f>
        <v/>
      </c>
    </row>
    <row r="107" customFormat="false" ht="15" hidden="false" customHeight="false" outlineLevel="0" collapsed="false">
      <c r="A107" s="18" t="str">
        <f aca="false">IF(B107="","",COUNTA(B$7:B107))</f>
        <v/>
      </c>
      <c r="B107" s="19"/>
      <c r="C107" s="20"/>
      <c r="D107" s="19" t="str">
        <f aca="false">IF(B107="","",IF(D106="",Report!$B$12,D106))</f>
        <v/>
      </c>
      <c r="E107" s="22" t="str">
        <f aca="false">IF(B107="","",IF(C107&lt;&gt;"",C107,E106+D106/1440+SUMIFS(Holds!$F$7:$F$46,Holds!$B$7:$B$46,"&gt;="&amp;E106,Holds!$B$7:$B$46,"&lt;"&amp;E106+D106/1440)/1440))</f>
        <v/>
      </c>
      <c r="F107" s="19"/>
      <c r="G107" s="19"/>
      <c r="H107" s="19"/>
      <c r="I107" s="19"/>
      <c r="J107" s="19"/>
      <c r="K107" s="19"/>
      <c r="L107" s="19"/>
      <c r="M107" s="19"/>
      <c r="N107" s="19"/>
      <c r="O107" s="18" t="str">
        <f aca="false">IF(F107="","",IFERROR(INDEX(Parts!$C$6:$C$45,MATCH(F107,Parts!$A$6:$A$45,0)),""))</f>
        <v/>
      </c>
      <c r="P107" s="18" t="str">
        <f aca="false">IF(F107="","",IFERROR(INDEX(Parts!$E$6:$E$45,MATCH(F107,Parts!$A$6:$A$45,0)),""))</f>
        <v/>
      </c>
      <c r="Q107" s="23" t="str">
        <f aca="false">IF(OR(J107="",P107="",P107=0),"",J107/P107+IF(OR(N107="",K107=""),0,IFERROR(N107/INDEX(Parts!$E$6:$E$45,MATCH(K107,Parts!$A$6:$A$45,0)),0)))</f>
        <v/>
      </c>
      <c r="R107" s="24" t="str">
        <f aca="false">IF(B107="","",IF(J107="",0,J107*IFERROR(INDEX(Parts!$F$6:$F$45,MATCH(F107,Parts!$A$6:$A$45,0)),0))+IF(N107="",0,N107*IFERROR(INDEX(Parts!$F$6:$F$45,MATCH(K107,Parts!$A$6:$A$45,0)),0)))</f>
        <v/>
      </c>
      <c r="S107" s="19"/>
      <c r="T107" s="19"/>
      <c r="U107" s="18" t="str">
        <f aca="false">IF(B107="","",IF(F107="",Settings!$B$9,IFERROR(INDEX(Parts!$H$6:$H$45,MATCH(F107,Parts!$A$6:$A$45,0))+0,Settings!$B$9)))</f>
        <v/>
      </c>
      <c r="V107" s="22" t="str">
        <f aca="false">IF(B107="","",IF(INDEX($E$7:$E$336,ROW()-6+Settings!$B$7)&lt;&gt;"",INDEX($E$7:$E$336,ROW()-6+Settings!$B$7),E107+Settings!$B$7*D107/1440))</f>
        <v/>
      </c>
      <c r="W107" s="22" t="str">
        <f aca="false">IF(B107="","",IF(INDEX($E$7:$E$336,ROW()-6+Settings!$B$7+Settings!$B$8)&lt;&gt;"",INDEX($E$7:$E$336,ROW()-6+Settings!$B$7+Settings!$B$8),E107+(Settings!$B$7+Settings!$B$8)*D107/1440)+U107/1440)</f>
        <v/>
      </c>
      <c r="X107" s="18" t="str">
        <f aca="false">IF(B107="","",IF(INDEX($E$7:$E$336,ROW()-6+Settings!$B$7+Settings!$B$8)&lt;&gt;"","line","estimate"))</f>
        <v/>
      </c>
      <c r="Y107" s="25" t="str">
        <f aca="false">IF(B107="","",INT(W107-Settings!$B$6))</f>
        <v/>
      </c>
      <c r="Z107" s="19"/>
      <c r="AA107" s="18" t="str">
        <f aca="false">IF(B107="","",IF(AND(B107&lt;&gt;"Empty",F107=""),"part missing; ","")&amp;IF(AND(F107&lt;&gt;"",J107=""),"pieces missing; ","")&amp;IF(AND(F107&lt;&gt;"",O107=""),"part not on the Parts sheet; ","")&amp;IF(AND(B107="Empty",OR(F107&lt;&gt;"",K107&lt;&gt;"")),"empty tray with parts; ","")&amp;IF(AND(B107="Loaded",K107&lt;&gt;""),"second part: type Mixed; ","")&amp;IF(AND(Q107&lt;&gt;"",N(Q107)&gt;1),"over 100 % of the spec load; ","")&amp;IF(N(R107)&gt;Settings!$B$10,"over the tray maximum (kg); ","")&amp;IF(AND(K107&lt;&gt;"",IFERROR(INDEX(Parts!$C$6:$C$45,MATCH(K107,Parts!$A$6:$A$45,0)),O107)&lt;&gt;O107),"different processes in one tray; ","")&amp;IF(AND(S107&lt;&gt;"",T107=""),"rework reason missing; ",""))</f>
        <v/>
      </c>
    </row>
    <row r="108" customFormat="false" ht="15" hidden="false" customHeight="false" outlineLevel="0" collapsed="false">
      <c r="A108" s="18" t="str">
        <f aca="false">IF(B108="","",COUNTA(B$7:B108))</f>
        <v/>
      </c>
      <c r="B108" s="19"/>
      <c r="C108" s="20"/>
      <c r="D108" s="19" t="str">
        <f aca="false">IF(B108="","",IF(D107="",Report!$B$12,D107))</f>
        <v/>
      </c>
      <c r="E108" s="22" t="str">
        <f aca="false">IF(B108="","",IF(C108&lt;&gt;"",C108,E107+D107/1440+SUMIFS(Holds!$F$7:$F$46,Holds!$B$7:$B$46,"&gt;="&amp;E107,Holds!$B$7:$B$46,"&lt;"&amp;E107+D107/1440)/1440))</f>
        <v/>
      </c>
      <c r="F108" s="19"/>
      <c r="G108" s="19"/>
      <c r="H108" s="19"/>
      <c r="I108" s="19"/>
      <c r="J108" s="19"/>
      <c r="K108" s="19"/>
      <c r="L108" s="19"/>
      <c r="M108" s="19"/>
      <c r="N108" s="19"/>
      <c r="O108" s="18" t="str">
        <f aca="false">IF(F108="","",IFERROR(INDEX(Parts!$C$6:$C$45,MATCH(F108,Parts!$A$6:$A$45,0)),""))</f>
        <v/>
      </c>
      <c r="P108" s="18" t="str">
        <f aca="false">IF(F108="","",IFERROR(INDEX(Parts!$E$6:$E$45,MATCH(F108,Parts!$A$6:$A$45,0)),""))</f>
        <v/>
      </c>
      <c r="Q108" s="23" t="str">
        <f aca="false">IF(OR(J108="",P108="",P108=0),"",J108/P108+IF(OR(N108="",K108=""),0,IFERROR(N108/INDEX(Parts!$E$6:$E$45,MATCH(K108,Parts!$A$6:$A$45,0)),0)))</f>
        <v/>
      </c>
      <c r="R108" s="24" t="str">
        <f aca="false">IF(B108="","",IF(J108="",0,J108*IFERROR(INDEX(Parts!$F$6:$F$45,MATCH(F108,Parts!$A$6:$A$45,0)),0))+IF(N108="",0,N108*IFERROR(INDEX(Parts!$F$6:$F$45,MATCH(K108,Parts!$A$6:$A$45,0)),0)))</f>
        <v/>
      </c>
      <c r="S108" s="19"/>
      <c r="T108" s="19"/>
      <c r="U108" s="18" t="str">
        <f aca="false">IF(B108="","",IF(F108="",Settings!$B$9,IFERROR(INDEX(Parts!$H$6:$H$45,MATCH(F108,Parts!$A$6:$A$45,0))+0,Settings!$B$9)))</f>
        <v/>
      </c>
      <c r="V108" s="22" t="str">
        <f aca="false">IF(B108="","",IF(INDEX($E$7:$E$336,ROW()-6+Settings!$B$7)&lt;&gt;"",INDEX($E$7:$E$336,ROW()-6+Settings!$B$7),E108+Settings!$B$7*D108/1440))</f>
        <v/>
      </c>
      <c r="W108" s="22" t="str">
        <f aca="false">IF(B108="","",IF(INDEX($E$7:$E$336,ROW()-6+Settings!$B$7+Settings!$B$8)&lt;&gt;"",INDEX($E$7:$E$336,ROW()-6+Settings!$B$7+Settings!$B$8),E108+(Settings!$B$7+Settings!$B$8)*D108/1440)+U108/1440)</f>
        <v/>
      </c>
      <c r="X108" s="18" t="str">
        <f aca="false">IF(B108="","",IF(INDEX($E$7:$E$336,ROW()-6+Settings!$B$7+Settings!$B$8)&lt;&gt;"","line","estimate"))</f>
        <v/>
      </c>
      <c r="Y108" s="25" t="str">
        <f aca="false">IF(B108="","",INT(W108-Settings!$B$6))</f>
        <v/>
      </c>
      <c r="Z108" s="19"/>
      <c r="AA108" s="18" t="str">
        <f aca="false">IF(B108="","",IF(AND(B108&lt;&gt;"Empty",F108=""),"part missing; ","")&amp;IF(AND(F108&lt;&gt;"",J108=""),"pieces missing; ","")&amp;IF(AND(F108&lt;&gt;"",O108=""),"part not on the Parts sheet; ","")&amp;IF(AND(B108="Empty",OR(F108&lt;&gt;"",K108&lt;&gt;"")),"empty tray with parts; ","")&amp;IF(AND(B108="Loaded",K108&lt;&gt;""),"second part: type Mixed; ","")&amp;IF(AND(Q108&lt;&gt;"",N(Q108)&gt;1),"over 100 % of the spec load; ","")&amp;IF(N(R108)&gt;Settings!$B$10,"over the tray maximum (kg); ","")&amp;IF(AND(K108&lt;&gt;"",IFERROR(INDEX(Parts!$C$6:$C$45,MATCH(K108,Parts!$A$6:$A$45,0)),O108)&lt;&gt;O108),"different processes in one tray; ","")&amp;IF(AND(S108&lt;&gt;"",T108=""),"rework reason missing; ",""))</f>
        <v/>
      </c>
    </row>
    <row r="109" customFormat="false" ht="15" hidden="false" customHeight="false" outlineLevel="0" collapsed="false">
      <c r="A109" s="18" t="str">
        <f aca="false">IF(B109="","",COUNTA(B$7:B109))</f>
        <v/>
      </c>
      <c r="B109" s="19"/>
      <c r="C109" s="20"/>
      <c r="D109" s="19" t="str">
        <f aca="false">IF(B109="","",IF(D108="",Report!$B$12,D108))</f>
        <v/>
      </c>
      <c r="E109" s="22" t="str">
        <f aca="false">IF(B109="","",IF(C109&lt;&gt;"",C109,E108+D108/1440+SUMIFS(Holds!$F$7:$F$46,Holds!$B$7:$B$46,"&gt;="&amp;E108,Holds!$B$7:$B$46,"&lt;"&amp;E108+D108/1440)/1440))</f>
        <v/>
      </c>
      <c r="F109" s="19"/>
      <c r="G109" s="19"/>
      <c r="H109" s="19"/>
      <c r="I109" s="19"/>
      <c r="J109" s="19"/>
      <c r="K109" s="19"/>
      <c r="L109" s="19"/>
      <c r="M109" s="19"/>
      <c r="N109" s="19"/>
      <c r="O109" s="18" t="str">
        <f aca="false">IF(F109="","",IFERROR(INDEX(Parts!$C$6:$C$45,MATCH(F109,Parts!$A$6:$A$45,0)),""))</f>
        <v/>
      </c>
      <c r="P109" s="18" t="str">
        <f aca="false">IF(F109="","",IFERROR(INDEX(Parts!$E$6:$E$45,MATCH(F109,Parts!$A$6:$A$45,0)),""))</f>
        <v/>
      </c>
      <c r="Q109" s="23" t="str">
        <f aca="false">IF(OR(J109="",P109="",P109=0),"",J109/P109+IF(OR(N109="",K109=""),0,IFERROR(N109/INDEX(Parts!$E$6:$E$45,MATCH(K109,Parts!$A$6:$A$45,0)),0)))</f>
        <v/>
      </c>
      <c r="R109" s="24" t="str">
        <f aca="false">IF(B109="","",IF(J109="",0,J109*IFERROR(INDEX(Parts!$F$6:$F$45,MATCH(F109,Parts!$A$6:$A$45,0)),0))+IF(N109="",0,N109*IFERROR(INDEX(Parts!$F$6:$F$45,MATCH(K109,Parts!$A$6:$A$45,0)),0)))</f>
        <v/>
      </c>
      <c r="S109" s="19"/>
      <c r="T109" s="19"/>
      <c r="U109" s="18" t="str">
        <f aca="false">IF(B109="","",IF(F109="",Settings!$B$9,IFERROR(INDEX(Parts!$H$6:$H$45,MATCH(F109,Parts!$A$6:$A$45,0))+0,Settings!$B$9)))</f>
        <v/>
      </c>
      <c r="V109" s="22" t="str">
        <f aca="false">IF(B109="","",IF(INDEX($E$7:$E$336,ROW()-6+Settings!$B$7)&lt;&gt;"",INDEX($E$7:$E$336,ROW()-6+Settings!$B$7),E109+Settings!$B$7*D109/1440))</f>
        <v/>
      </c>
      <c r="W109" s="22" t="str">
        <f aca="false">IF(B109="","",IF(INDEX($E$7:$E$336,ROW()-6+Settings!$B$7+Settings!$B$8)&lt;&gt;"",INDEX($E$7:$E$336,ROW()-6+Settings!$B$7+Settings!$B$8),E109+(Settings!$B$7+Settings!$B$8)*D109/1440)+U109/1440)</f>
        <v/>
      </c>
      <c r="X109" s="18" t="str">
        <f aca="false">IF(B109="","",IF(INDEX($E$7:$E$336,ROW()-6+Settings!$B$7+Settings!$B$8)&lt;&gt;"","line","estimate"))</f>
        <v/>
      </c>
      <c r="Y109" s="25" t="str">
        <f aca="false">IF(B109="","",INT(W109-Settings!$B$6))</f>
        <v/>
      </c>
      <c r="Z109" s="19"/>
      <c r="AA109" s="18" t="str">
        <f aca="false">IF(B109="","",IF(AND(B109&lt;&gt;"Empty",F109=""),"part missing; ","")&amp;IF(AND(F109&lt;&gt;"",J109=""),"pieces missing; ","")&amp;IF(AND(F109&lt;&gt;"",O109=""),"part not on the Parts sheet; ","")&amp;IF(AND(B109="Empty",OR(F109&lt;&gt;"",K109&lt;&gt;"")),"empty tray with parts; ","")&amp;IF(AND(B109="Loaded",K109&lt;&gt;""),"second part: type Mixed; ","")&amp;IF(AND(Q109&lt;&gt;"",N(Q109)&gt;1),"over 100 % of the spec load; ","")&amp;IF(N(R109)&gt;Settings!$B$10,"over the tray maximum (kg); ","")&amp;IF(AND(K109&lt;&gt;"",IFERROR(INDEX(Parts!$C$6:$C$45,MATCH(K109,Parts!$A$6:$A$45,0)),O109)&lt;&gt;O109),"different processes in one tray; ","")&amp;IF(AND(S109&lt;&gt;"",T109=""),"rework reason missing; ",""))</f>
        <v/>
      </c>
    </row>
    <row r="110" customFormat="false" ht="15" hidden="false" customHeight="false" outlineLevel="0" collapsed="false">
      <c r="A110" s="18" t="str">
        <f aca="false">IF(B110="","",COUNTA(B$7:B110))</f>
        <v/>
      </c>
      <c r="B110" s="19"/>
      <c r="C110" s="20"/>
      <c r="D110" s="19" t="str">
        <f aca="false">IF(B110="","",IF(D109="",Report!$B$12,D109))</f>
        <v/>
      </c>
      <c r="E110" s="22" t="str">
        <f aca="false">IF(B110="","",IF(C110&lt;&gt;"",C110,E109+D109/1440+SUMIFS(Holds!$F$7:$F$46,Holds!$B$7:$B$46,"&gt;="&amp;E109,Holds!$B$7:$B$46,"&lt;"&amp;E109+D109/1440)/1440))</f>
        <v/>
      </c>
      <c r="F110" s="19"/>
      <c r="G110" s="19"/>
      <c r="H110" s="19"/>
      <c r="I110" s="19"/>
      <c r="J110" s="19"/>
      <c r="K110" s="19"/>
      <c r="L110" s="19"/>
      <c r="M110" s="19"/>
      <c r="N110" s="19"/>
      <c r="O110" s="18" t="str">
        <f aca="false">IF(F110="","",IFERROR(INDEX(Parts!$C$6:$C$45,MATCH(F110,Parts!$A$6:$A$45,0)),""))</f>
        <v/>
      </c>
      <c r="P110" s="18" t="str">
        <f aca="false">IF(F110="","",IFERROR(INDEX(Parts!$E$6:$E$45,MATCH(F110,Parts!$A$6:$A$45,0)),""))</f>
        <v/>
      </c>
      <c r="Q110" s="23" t="str">
        <f aca="false">IF(OR(J110="",P110="",P110=0),"",J110/P110+IF(OR(N110="",K110=""),0,IFERROR(N110/INDEX(Parts!$E$6:$E$45,MATCH(K110,Parts!$A$6:$A$45,0)),0)))</f>
        <v/>
      </c>
      <c r="R110" s="24" t="str">
        <f aca="false">IF(B110="","",IF(J110="",0,J110*IFERROR(INDEX(Parts!$F$6:$F$45,MATCH(F110,Parts!$A$6:$A$45,0)),0))+IF(N110="",0,N110*IFERROR(INDEX(Parts!$F$6:$F$45,MATCH(K110,Parts!$A$6:$A$45,0)),0)))</f>
        <v/>
      </c>
      <c r="S110" s="19"/>
      <c r="T110" s="19"/>
      <c r="U110" s="18" t="str">
        <f aca="false">IF(B110="","",IF(F110="",Settings!$B$9,IFERROR(INDEX(Parts!$H$6:$H$45,MATCH(F110,Parts!$A$6:$A$45,0))+0,Settings!$B$9)))</f>
        <v/>
      </c>
      <c r="V110" s="22" t="str">
        <f aca="false">IF(B110="","",IF(INDEX($E$7:$E$336,ROW()-6+Settings!$B$7)&lt;&gt;"",INDEX($E$7:$E$336,ROW()-6+Settings!$B$7),E110+Settings!$B$7*D110/1440))</f>
        <v/>
      </c>
      <c r="W110" s="22" t="str">
        <f aca="false">IF(B110="","",IF(INDEX($E$7:$E$336,ROW()-6+Settings!$B$7+Settings!$B$8)&lt;&gt;"",INDEX($E$7:$E$336,ROW()-6+Settings!$B$7+Settings!$B$8),E110+(Settings!$B$7+Settings!$B$8)*D110/1440)+U110/1440)</f>
        <v/>
      </c>
      <c r="X110" s="18" t="str">
        <f aca="false">IF(B110="","",IF(INDEX($E$7:$E$336,ROW()-6+Settings!$B$7+Settings!$B$8)&lt;&gt;"","line","estimate"))</f>
        <v/>
      </c>
      <c r="Y110" s="25" t="str">
        <f aca="false">IF(B110="","",INT(W110-Settings!$B$6))</f>
        <v/>
      </c>
      <c r="Z110" s="19"/>
      <c r="AA110" s="18" t="str">
        <f aca="false">IF(B110="","",IF(AND(B110&lt;&gt;"Empty",F110=""),"part missing; ","")&amp;IF(AND(F110&lt;&gt;"",J110=""),"pieces missing; ","")&amp;IF(AND(F110&lt;&gt;"",O110=""),"part not on the Parts sheet; ","")&amp;IF(AND(B110="Empty",OR(F110&lt;&gt;"",K110&lt;&gt;"")),"empty tray with parts; ","")&amp;IF(AND(B110="Loaded",K110&lt;&gt;""),"second part: type Mixed; ","")&amp;IF(AND(Q110&lt;&gt;"",N(Q110)&gt;1),"over 100 % of the spec load; ","")&amp;IF(N(R110)&gt;Settings!$B$10,"over the tray maximum (kg); ","")&amp;IF(AND(K110&lt;&gt;"",IFERROR(INDEX(Parts!$C$6:$C$45,MATCH(K110,Parts!$A$6:$A$45,0)),O110)&lt;&gt;O110),"different processes in one tray; ","")&amp;IF(AND(S110&lt;&gt;"",T110=""),"rework reason missing; ",""))</f>
        <v/>
      </c>
    </row>
    <row r="111" customFormat="false" ht="15" hidden="false" customHeight="false" outlineLevel="0" collapsed="false">
      <c r="A111" s="18" t="str">
        <f aca="false">IF(B111="","",COUNTA(B$7:B111))</f>
        <v/>
      </c>
      <c r="B111" s="19"/>
      <c r="C111" s="20"/>
      <c r="D111" s="19" t="str">
        <f aca="false">IF(B111="","",IF(D110="",Report!$B$12,D110))</f>
        <v/>
      </c>
      <c r="E111" s="22" t="str">
        <f aca="false">IF(B111="","",IF(C111&lt;&gt;"",C111,E110+D110/1440+SUMIFS(Holds!$F$7:$F$46,Holds!$B$7:$B$46,"&gt;="&amp;E110,Holds!$B$7:$B$46,"&lt;"&amp;E110+D110/1440)/1440))</f>
        <v/>
      </c>
      <c r="F111" s="19"/>
      <c r="G111" s="19"/>
      <c r="H111" s="19"/>
      <c r="I111" s="19"/>
      <c r="J111" s="19"/>
      <c r="K111" s="19"/>
      <c r="L111" s="19"/>
      <c r="M111" s="19"/>
      <c r="N111" s="19"/>
      <c r="O111" s="18" t="str">
        <f aca="false">IF(F111="","",IFERROR(INDEX(Parts!$C$6:$C$45,MATCH(F111,Parts!$A$6:$A$45,0)),""))</f>
        <v/>
      </c>
      <c r="P111" s="18" t="str">
        <f aca="false">IF(F111="","",IFERROR(INDEX(Parts!$E$6:$E$45,MATCH(F111,Parts!$A$6:$A$45,0)),""))</f>
        <v/>
      </c>
      <c r="Q111" s="23" t="str">
        <f aca="false">IF(OR(J111="",P111="",P111=0),"",J111/P111+IF(OR(N111="",K111=""),0,IFERROR(N111/INDEX(Parts!$E$6:$E$45,MATCH(K111,Parts!$A$6:$A$45,0)),0)))</f>
        <v/>
      </c>
      <c r="R111" s="24" t="str">
        <f aca="false">IF(B111="","",IF(J111="",0,J111*IFERROR(INDEX(Parts!$F$6:$F$45,MATCH(F111,Parts!$A$6:$A$45,0)),0))+IF(N111="",0,N111*IFERROR(INDEX(Parts!$F$6:$F$45,MATCH(K111,Parts!$A$6:$A$45,0)),0)))</f>
        <v/>
      </c>
      <c r="S111" s="19"/>
      <c r="T111" s="19"/>
      <c r="U111" s="18" t="str">
        <f aca="false">IF(B111="","",IF(F111="",Settings!$B$9,IFERROR(INDEX(Parts!$H$6:$H$45,MATCH(F111,Parts!$A$6:$A$45,0))+0,Settings!$B$9)))</f>
        <v/>
      </c>
      <c r="V111" s="22" t="str">
        <f aca="false">IF(B111="","",IF(INDEX($E$7:$E$336,ROW()-6+Settings!$B$7)&lt;&gt;"",INDEX($E$7:$E$336,ROW()-6+Settings!$B$7),E111+Settings!$B$7*D111/1440))</f>
        <v/>
      </c>
      <c r="W111" s="22" t="str">
        <f aca="false">IF(B111="","",IF(INDEX($E$7:$E$336,ROW()-6+Settings!$B$7+Settings!$B$8)&lt;&gt;"",INDEX($E$7:$E$336,ROW()-6+Settings!$B$7+Settings!$B$8),E111+(Settings!$B$7+Settings!$B$8)*D111/1440)+U111/1440)</f>
        <v/>
      </c>
      <c r="X111" s="18" t="str">
        <f aca="false">IF(B111="","",IF(INDEX($E$7:$E$336,ROW()-6+Settings!$B$7+Settings!$B$8)&lt;&gt;"","line","estimate"))</f>
        <v/>
      </c>
      <c r="Y111" s="25" t="str">
        <f aca="false">IF(B111="","",INT(W111-Settings!$B$6))</f>
        <v/>
      </c>
      <c r="Z111" s="19"/>
      <c r="AA111" s="18" t="str">
        <f aca="false">IF(B111="","",IF(AND(B111&lt;&gt;"Empty",F111=""),"part missing; ","")&amp;IF(AND(F111&lt;&gt;"",J111=""),"pieces missing; ","")&amp;IF(AND(F111&lt;&gt;"",O111=""),"part not on the Parts sheet; ","")&amp;IF(AND(B111="Empty",OR(F111&lt;&gt;"",K111&lt;&gt;"")),"empty tray with parts; ","")&amp;IF(AND(B111="Loaded",K111&lt;&gt;""),"second part: type Mixed; ","")&amp;IF(AND(Q111&lt;&gt;"",N(Q111)&gt;1),"over 100 % of the spec load; ","")&amp;IF(N(R111)&gt;Settings!$B$10,"over the tray maximum (kg); ","")&amp;IF(AND(K111&lt;&gt;"",IFERROR(INDEX(Parts!$C$6:$C$45,MATCH(K111,Parts!$A$6:$A$45,0)),O111)&lt;&gt;O111),"different processes in one tray; ","")&amp;IF(AND(S111&lt;&gt;"",T111=""),"rework reason missing; ",""))</f>
        <v/>
      </c>
    </row>
    <row r="112" customFormat="false" ht="15" hidden="false" customHeight="false" outlineLevel="0" collapsed="false">
      <c r="A112" s="18" t="str">
        <f aca="false">IF(B112="","",COUNTA(B$7:B112))</f>
        <v/>
      </c>
      <c r="B112" s="19"/>
      <c r="C112" s="20"/>
      <c r="D112" s="19" t="str">
        <f aca="false">IF(B112="","",IF(D111="",Report!$B$12,D111))</f>
        <v/>
      </c>
      <c r="E112" s="22" t="str">
        <f aca="false">IF(B112="","",IF(C112&lt;&gt;"",C112,E111+D111/1440+SUMIFS(Holds!$F$7:$F$46,Holds!$B$7:$B$46,"&gt;="&amp;E111,Holds!$B$7:$B$46,"&lt;"&amp;E111+D111/1440)/1440))</f>
        <v/>
      </c>
      <c r="F112" s="19"/>
      <c r="G112" s="19"/>
      <c r="H112" s="19"/>
      <c r="I112" s="19"/>
      <c r="J112" s="19"/>
      <c r="K112" s="19"/>
      <c r="L112" s="19"/>
      <c r="M112" s="19"/>
      <c r="N112" s="19"/>
      <c r="O112" s="18" t="str">
        <f aca="false">IF(F112="","",IFERROR(INDEX(Parts!$C$6:$C$45,MATCH(F112,Parts!$A$6:$A$45,0)),""))</f>
        <v/>
      </c>
      <c r="P112" s="18" t="str">
        <f aca="false">IF(F112="","",IFERROR(INDEX(Parts!$E$6:$E$45,MATCH(F112,Parts!$A$6:$A$45,0)),""))</f>
        <v/>
      </c>
      <c r="Q112" s="23" t="str">
        <f aca="false">IF(OR(J112="",P112="",P112=0),"",J112/P112+IF(OR(N112="",K112=""),0,IFERROR(N112/INDEX(Parts!$E$6:$E$45,MATCH(K112,Parts!$A$6:$A$45,0)),0)))</f>
        <v/>
      </c>
      <c r="R112" s="24" t="str">
        <f aca="false">IF(B112="","",IF(J112="",0,J112*IFERROR(INDEX(Parts!$F$6:$F$45,MATCH(F112,Parts!$A$6:$A$45,0)),0))+IF(N112="",0,N112*IFERROR(INDEX(Parts!$F$6:$F$45,MATCH(K112,Parts!$A$6:$A$45,0)),0)))</f>
        <v/>
      </c>
      <c r="S112" s="19"/>
      <c r="T112" s="19"/>
      <c r="U112" s="18" t="str">
        <f aca="false">IF(B112="","",IF(F112="",Settings!$B$9,IFERROR(INDEX(Parts!$H$6:$H$45,MATCH(F112,Parts!$A$6:$A$45,0))+0,Settings!$B$9)))</f>
        <v/>
      </c>
      <c r="V112" s="22" t="str">
        <f aca="false">IF(B112="","",IF(INDEX($E$7:$E$336,ROW()-6+Settings!$B$7)&lt;&gt;"",INDEX($E$7:$E$336,ROW()-6+Settings!$B$7),E112+Settings!$B$7*D112/1440))</f>
        <v/>
      </c>
      <c r="W112" s="22" t="str">
        <f aca="false">IF(B112="","",IF(INDEX($E$7:$E$336,ROW()-6+Settings!$B$7+Settings!$B$8)&lt;&gt;"",INDEX($E$7:$E$336,ROW()-6+Settings!$B$7+Settings!$B$8),E112+(Settings!$B$7+Settings!$B$8)*D112/1440)+U112/1440)</f>
        <v/>
      </c>
      <c r="X112" s="18" t="str">
        <f aca="false">IF(B112="","",IF(INDEX($E$7:$E$336,ROW()-6+Settings!$B$7+Settings!$B$8)&lt;&gt;"","line","estimate"))</f>
        <v/>
      </c>
      <c r="Y112" s="25" t="str">
        <f aca="false">IF(B112="","",INT(W112-Settings!$B$6))</f>
        <v/>
      </c>
      <c r="Z112" s="19"/>
      <c r="AA112" s="18" t="str">
        <f aca="false">IF(B112="","",IF(AND(B112&lt;&gt;"Empty",F112=""),"part missing; ","")&amp;IF(AND(F112&lt;&gt;"",J112=""),"pieces missing; ","")&amp;IF(AND(F112&lt;&gt;"",O112=""),"part not on the Parts sheet; ","")&amp;IF(AND(B112="Empty",OR(F112&lt;&gt;"",K112&lt;&gt;"")),"empty tray with parts; ","")&amp;IF(AND(B112="Loaded",K112&lt;&gt;""),"second part: type Mixed; ","")&amp;IF(AND(Q112&lt;&gt;"",N(Q112)&gt;1),"over 100 % of the spec load; ","")&amp;IF(N(R112)&gt;Settings!$B$10,"over the tray maximum (kg); ","")&amp;IF(AND(K112&lt;&gt;"",IFERROR(INDEX(Parts!$C$6:$C$45,MATCH(K112,Parts!$A$6:$A$45,0)),O112)&lt;&gt;O112),"different processes in one tray; ","")&amp;IF(AND(S112&lt;&gt;"",T112=""),"rework reason missing; ",""))</f>
        <v/>
      </c>
    </row>
    <row r="113" customFormat="false" ht="15" hidden="false" customHeight="false" outlineLevel="0" collapsed="false">
      <c r="A113" s="18" t="str">
        <f aca="false">IF(B113="","",COUNTA(B$7:B113))</f>
        <v/>
      </c>
      <c r="B113" s="19"/>
      <c r="C113" s="20"/>
      <c r="D113" s="19" t="str">
        <f aca="false">IF(B113="","",IF(D112="",Report!$B$12,D112))</f>
        <v/>
      </c>
      <c r="E113" s="22" t="str">
        <f aca="false">IF(B113="","",IF(C113&lt;&gt;"",C113,E112+D112/1440+SUMIFS(Holds!$F$7:$F$46,Holds!$B$7:$B$46,"&gt;="&amp;E112,Holds!$B$7:$B$46,"&lt;"&amp;E112+D112/1440)/1440))</f>
        <v/>
      </c>
      <c r="F113" s="19"/>
      <c r="G113" s="19"/>
      <c r="H113" s="19"/>
      <c r="I113" s="19"/>
      <c r="J113" s="19"/>
      <c r="K113" s="19"/>
      <c r="L113" s="19"/>
      <c r="M113" s="19"/>
      <c r="N113" s="19"/>
      <c r="O113" s="18" t="str">
        <f aca="false">IF(F113="","",IFERROR(INDEX(Parts!$C$6:$C$45,MATCH(F113,Parts!$A$6:$A$45,0)),""))</f>
        <v/>
      </c>
      <c r="P113" s="18" t="str">
        <f aca="false">IF(F113="","",IFERROR(INDEX(Parts!$E$6:$E$45,MATCH(F113,Parts!$A$6:$A$45,0)),""))</f>
        <v/>
      </c>
      <c r="Q113" s="23" t="str">
        <f aca="false">IF(OR(J113="",P113="",P113=0),"",J113/P113+IF(OR(N113="",K113=""),0,IFERROR(N113/INDEX(Parts!$E$6:$E$45,MATCH(K113,Parts!$A$6:$A$45,0)),0)))</f>
        <v/>
      </c>
      <c r="R113" s="24" t="str">
        <f aca="false">IF(B113="","",IF(J113="",0,J113*IFERROR(INDEX(Parts!$F$6:$F$45,MATCH(F113,Parts!$A$6:$A$45,0)),0))+IF(N113="",0,N113*IFERROR(INDEX(Parts!$F$6:$F$45,MATCH(K113,Parts!$A$6:$A$45,0)),0)))</f>
        <v/>
      </c>
      <c r="S113" s="19"/>
      <c r="T113" s="19"/>
      <c r="U113" s="18" t="str">
        <f aca="false">IF(B113="","",IF(F113="",Settings!$B$9,IFERROR(INDEX(Parts!$H$6:$H$45,MATCH(F113,Parts!$A$6:$A$45,0))+0,Settings!$B$9)))</f>
        <v/>
      </c>
      <c r="V113" s="22" t="str">
        <f aca="false">IF(B113="","",IF(INDEX($E$7:$E$336,ROW()-6+Settings!$B$7)&lt;&gt;"",INDEX($E$7:$E$336,ROW()-6+Settings!$B$7),E113+Settings!$B$7*D113/1440))</f>
        <v/>
      </c>
      <c r="W113" s="22" t="str">
        <f aca="false">IF(B113="","",IF(INDEX($E$7:$E$336,ROW()-6+Settings!$B$7+Settings!$B$8)&lt;&gt;"",INDEX($E$7:$E$336,ROW()-6+Settings!$B$7+Settings!$B$8),E113+(Settings!$B$7+Settings!$B$8)*D113/1440)+U113/1440)</f>
        <v/>
      </c>
      <c r="X113" s="18" t="str">
        <f aca="false">IF(B113="","",IF(INDEX($E$7:$E$336,ROW()-6+Settings!$B$7+Settings!$B$8)&lt;&gt;"","line","estimate"))</f>
        <v/>
      </c>
      <c r="Y113" s="25" t="str">
        <f aca="false">IF(B113="","",INT(W113-Settings!$B$6))</f>
        <v/>
      </c>
      <c r="Z113" s="19"/>
      <c r="AA113" s="18" t="str">
        <f aca="false">IF(B113="","",IF(AND(B113&lt;&gt;"Empty",F113=""),"part missing; ","")&amp;IF(AND(F113&lt;&gt;"",J113=""),"pieces missing; ","")&amp;IF(AND(F113&lt;&gt;"",O113=""),"part not on the Parts sheet; ","")&amp;IF(AND(B113="Empty",OR(F113&lt;&gt;"",K113&lt;&gt;"")),"empty tray with parts; ","")&amp;IF(AND(B113="Loaded",K113&lt;&gt;""),"second part: type Mixed; ","")&amp;IF(AND(Q113&lt;&gt;"",N(Q113)&gt;1),"over 100 % of the spec load; ","")&amp;IF(N(R113)&gt;Settings!$B$10,"over the tray maximum (kg); ","")&amp;IF(AND(K113&lt;&gt;"",IFERROR(INDEX(Parts!$C$6:$C$45,MATCH(K113,Parts!$A$6:$A$45,0)),O113)&lt;&gt;O113),"different processes in one tray; ","")&amp;IF(AND(S113&lt;&gt;"",T113=""),"rework reason missing; ",""))</f>
        <v/>
      </c>
    </row>
    <row r="114" customFormat="false" ht="15" hidden="false" customHeight="false" outlineLevel="0" collapsed="false">
      <c r="A114" s="18" t="str">
        <f aca="false">IF(B114="","",COUNTA(B$7:B114))</f>
        <v/>
      </c>
      <c r="B114" s="19"/>
      <c r="C114" s="20"/>
      <c r="D114" s="19" t="str">
        <f aca="false">IF(B114="","",IF(D113="",Report!$B$12,D113))</f>
        <v/>
      </c>
      <c r="E114" s="22" t="str">
        <f aca="false">IF(B114="","",IF(C114&lt;&gt;"",C114,E113+D113/1440+SUMIFS(Holds!$F$7:$F$46,Holds!$B$7:$B$46,"&gt;="&amp;E113,Holds!$B$7:$B$46,"&lt;"&amp;E113+D113/1440)/1440))</f>
        <v/>
      </c>
      <c r="F114" s="19"/>
      <c r="G114" s="19"/>
      <c r="H114" s="19"/>
      <c r="I114" s="19"/>
      <c r="J114" s="19"/>
      <c r="K114" s="19"/>
      <c r="L114" s="19"/>
      <c r="M114" s="19"/>
      <c r="N114" s="19"/>
      <c r="O114" s="18" t="str">
        <f aca="false">IF(F114="","",IFERROR(INDEX(Parts!$C$6:$C$45,MATCH(F114,Parts!$A$6:$A$45,0)),""))</f>
        <v/>
      </c>
      <c r="P114" s="18" t="str">
        <f aca="false">IF(F114="","",IFERROR(INDEX(Parts!$E$6:$E$45,MATCH(F114,Parts!$A$6:$A$45,0)),""))</f>
        <v/>
      </c>
      <c r="Q114" s="23" t="str">
        <f aca="false">IF(OR(J114="",P114="",P114=0),"",J114/P114+IF(OR(N114="",K114=""),0,IFERROR(N114/INDEX(Parts!$E$6:$E$45,MATCH(K114,Parts!$A$6:$A$45,0)),0)))</f>
        <v/>
      </c>
      <c r="R114" s="24" t="str">
        <f aca="false">IF(B114="","",IF(J114="",0,J114*IFERROR(INDEX(Parts!$F$6:$F$45,MATCH(F114,Parts!$A$6:$A$45,0)),0))+IF(N114="",0,N114*IFERROR(INDEX(Parts!$F$6:$F$45,MATCH(K114,Parts!$A$6:$A$45,0)),0)))</f>
        <v/>
      </c>
      <c r="S114" s="19"/>
      <c r="T114" s="19"/>
      <c r="U114" s="18" t="str">
        <f aca="false">IF(B114="","",IF(F114="",Settings!$B$9,IFERROR(INDEX(Parts!$H$6:$H$45,MATCH(F114,Parts!$A$6:$A$45,0))+0,Settings!$B$9)))</f>
        <v/>
      </c>
      <c r="V114" s="22" t="str">
        <f aca="false">IF(B114="","",IF(INDEX($E$7:$E$336,ROW()-6+Settings!$B$7)&lt;&gt;"",INDEX($E$7:$E$336,ROW()-6+Settings!$B$7),E114+Settings!$B$7*D114/1440))</f>
        <v/>
      </c>
      <c r="W114" s="22" t="str">
        <f aca="false">IF(B114="","",IF(INDEX($E$7:$E$336,ROW()-6+Settings!$B$7+Settings!$B$8)&lt;&gt;"",INDEX($E$7:$E$336,ROW()-6+Settings!$B$7+Settings!$B$8),E114+(Settings!$B$7+Settings!$B$8)*D114/1440)+U114/1440)</f>
        <v/>
      </c>
      <c r="X114" s="18" t="str">
        <f aca="false">IF(B114="","",IF(INDEX($E$7:$E$336,ROW()-6+Settings!$B$7+Settings!$B$8)&lt;&gt;"","line","estimate"))</f>
        <v/>
      </c>
      <c r="Y114" s="25" t="str">
        <f aca="false">IF(B114="","",INT(W114-Settings!$B$6))</f>
        <v/>
      </c>
      <c r="Z114" s="19"/>
      <c r="AA114" s="18" t="str">
        <f aca="false">IF(B114="","",IF(AND(B114&lt;&gt;"Empty",F114=""),"part missing; ","")&amp;IF(AND(F114&lt;&gt;"",J114=""),"pieces missing; ","")&amp;IF(AND(F114&lt;&gt;"",O114=""),"part not on the Parts sheet; ","")&amp;IF(AND(B114="Empty",OR(F114&lt;&gt;"",K114&lt;&gt;"")),"empty tray with parts; ","")&amp;IF(AND(B114="Loaded",K114&lt;&gt;""),"second part: type Mixed; ","")&amp;IF(AND(Q114&lt;&gt;"",N(Q114)&gt;1),"over 100 % of the spec load; ","")&amp;IF(N(R114)&gt;Settings!$B$10,"over the tray maximum (kg); ","")&amp;IF(AND(K114&lt;&gt;"",IFERROR(INDEX(Parts!$C$6:$C$45,MATCH(K114,Parts!$A$6:$A$45,0)),O114)&lt;&gt;O114),"different processes in one tray; ","")&amp;IF(AND(S114&lt;&gt;"",T114=""),"rework reason missing; ",""))</f>
        <v/>
      </c>
    </row>
    <row r="115" customFormat="false" ht="15" hidden="false" customHeight="false" outlineLevel="0" collapsed="false">
      <c r="A115" s="18" t="str">
        <f aca="false">IF(B115="","",COUNTA(B$7:B115))</f>
        <v/>
      </c>
      <c r="B115" s="19"/>
      <c r="C115" s="20"/>
      <c r="D115" s="19" t="str">
        <f aca="false">IF(B115="","",IF(D114="",Report!$B$12,D114))</f>
        <v/>
      </c>
      <c r="E115" s="22" t="str">
        <f aca="false">IF(B115="","",IF(C115&lt;&gt;"",C115,E114+D114/1440+SUMIFS(Holds!$F$7:$F$46,Holds!$B$7:$B$46,"&gt;="&amp;E114,Holds!$B$7:$B$46,"&lt;"&amp;E114+D114/1440)/1440))</f>
        <v/>
      </c>
      <c r="F115" s="19"/>
      <c r="G115" s="19"/>
      <c r="H115" s="19"/>
      <c r="I115" s="19"/>
      <c r="J115" s="19"/>
      <c r="K115" s="19"/>
      <c r="L115" s="19"/>
      <c r="M115" s="19"/>
      <c r="N115" s="19"/>
      <c r="O115" s="18" t="str">
        <f aca="false">IF(F115="","",IFERROR(INDEX(Parts!$C$6:$C$45,MATCH(F115,Parts!$A$6:$A$45,0)),""))</f>
        <v/>
      </c>
      <c r="P115" s="18" t="str">
        <f aca="false">IF(F115="","",IFERROR(INDEX(Parts!$E$6:$E$45,MATCH(F115,Parts!$A$6:$A$45,0)),""))</f>
        <v/>
      </c>
      <c r="Q115" s="23" t="str">
        <f aca="false">IF(OR(J115="",P115="",P115=0),"",J115/P115+IF(OR(N115="",K115=""),0,IFERROR(N115/INDEX(Parts!$E$6:$E$45,MATCH(K115,Parts!$A$6:$A$45,0)),0)))</f>
        <v/>
      </c>
      <c r="R115" s="24" t="str">
        <f aca="false">IF(B115="","",IF(J115="",0,J115*IFERROR(INDEX(Parts!$F$6:$F$45,MATCH(F115,Parts!$A$6:$A$45,0)),0))+IF(N115="",0,N115*IFERROR(INDEX(Parts!$F$6:$F$45,MATCH(K115,Parts!$A$6:$A$45,0)),0)))</f>
        <v/>
      </c>
      <c r="S115" s="19"/>
      <c r="T115" s="19"/>
      <c r="U115" s="18" t="str">
        <f aca="false">IF(B115="","",IF(F115="",Settings!$B$9,IFERROR(INDEX(Parts!$H$6:$H$45,MATCH(F115,Parts!$A$6:$A$45,0))+0,Settings!$B$9)))</f>
        <v/>
      </c>
      <c r="V115" s="22" t="str">
        <f aca="false">IF(B115="","",IF(INDEX($E$7:$E$336,ROW()-6+Settings!$B$7)&lt;&gt;"",INDEX($E$7:$E$336,ROW()-6+Settings!$B$7),E115+Settings!$B$7*D115/1440))</f>
        <v/>
      </c>
      <c r="W115" s="22" t="str">
        <f aca="false">IF(B115="","",IF(INDEX($E$7:$E$336,ROW()-6+Settings!$B$7+Settings!$B$8)&lt;&gt;"",INDEX($E$7:$E$336,ROW()-6+Settings!$B$7+Settings!$B$8),E115+(Settings!$B$7+Settings!$B$8)*D115/1440)+U115/1440)</f>
        <v/>
      </c>
      <c r="X115" s="18" t="str">
        <f aca="false">IF(B115="","",IF(INDEX($E$7:$E$336,ROW()-6+Settings!$B$7+Settings!$B$8)&lt;&gt;"","line","estimate"))</f>
        <v/>
      </c>
      <c r="Y115" s="25" t="str">
        <f aca="false">IF(B115="","",INT(W115-Settings!$B$6))</f>
        <v/>
      </c>
      <c r="Z115" s="19"/>
      <c r="AA115" s="18" t="str">
        <f aca="false">IF(B115="","",IF(AND(B115&lt;&gt;"Empty",F115=""),"part missing; ","")&amp;IF(AND(F115&lt;&gt;"",J115=""),"pieces missing; ","")&amp;IF(AND(F115&lt;&gt;"",O115=""),"part not on the Parts sheet; ","")&amp;IF(AND(B115="Empty",OR(F115&lt;&gt;"",K115&lt;&gt;"")),"empty tray with parts; ","")&amp;IF(AND(B115="Loaded",K115&lt;&gt;""),"second part: type Mixed; ","")&amp;IF(AND(Q115&lt;&gt;"",N(Q115)&gt;1),"over 100 % of the spec load; ","")&amp;IF(N(R115)&gt;Settings!$B$10,"over the tray maximum (kg); ","")&amp;IF(AND(K115&lt;&gt;"",IFERROR(INDEX(Parts!$C$6:$C$45,MATCH(K115,Parts!$A$6:$A$45,0)),O115)&lt;&gt;O115),"different processes in one tray; ","")&amp;IF(AND(S115&lt;&gt;"",T115=""),"rework reason missing; ",""))</f>
        <v/>
      </c>
    </row>
    <row r="116" customFormat="false" ht="15" hidden="false" customHeight="false" outlineLevel="0" collapsed="false">
      <c r="A116" s="18" t="str">
        <f aca="false">IF(B116="","",COUNTA(B$7:B116))</f>
        <v/>
      </c>
      <c r="B116" s="19"/>
      <c r="C116" s="20"/>
      <c r="D116" s="19" t="str">
        <f aca="false">IF(B116="","",IF(D115="",Report!$B$12,D115))</f>
        <v/>
      </c>
      <c r="E116" s="22" t="str">
        <f aca="false">IF(B116="","",IF(C116&lt;&gt;"",C116,E115+D115/1440+SUMIFS(Holds!$F$7:$F$46,Holds!$B$7:$B$46,"&gt;="&amp;E115,Holds!$B$7:$B$46,"&lt;"&amp;E115+D115/1440)/1440))</f>
        <v/>
      </c>
      <c r="F116" s="19"/>
      <c r="G116" s="19"/>
      <c r="H116" s="19"/>
      <c r="I116" s="19"/>
      <c r="J116" s="19"/>
      <c r="K116" s="19"/>
      <c r="L116" s="19"/>
      <c r="M116" s="19"/>
      <c r="N116" s="19"/>
      <c r="O116" s="18" t="str">
        <f aca="false">IF(F116="","",IFERROR(INDEX(Parts!$C$6:$C$45,MATCH(F116,Parts!$A$6:$A$45,0)),""))</f>
        <v/>
      </c>
      <c r="P116" s="18" t="str">
        <f aca="false">IF(F116="","",IFERROR(INDEX(Parts!$E$6:$E$45,MATCH(F116,Parts!$A$6:$A$45,0)),""))</f>
        <v/>
      </c>
      <c r="Q116" s="23" t="str">
        <f aca="false">IF(OR(J116="",P116="",P116=0),"",J116/P116+IF(OR(N116="",K116=""),0,IFERROR(N116/INDEX(Parts!$E$6:$E$45,MATCH(K116,Parts!$A$6:$A$45,0)),0)))</f>
        <v/>
      </c>
      <c r="R116" s="24" t="str">
        <f aca="false">IF(B116="","",IF(J116="",0,J116*IFERROR(INDEX(Parts!$F$6:$F$45,MATCH(F116,Parts!$A$6:$A$45,0)),0))+IF(N116="",0,N116*IFERROR(INDEX(Parts!$F$6:$F$45,MATCH(K116,Parts!$A$6:$A$45,0)),0)))</f>
        <v/>
      </c>
      <c r="S116" s="19"/>
      <c r="T116" s="19"/>
      <c r="U116" s="18" t="str">
        <f aca="false">IF(B116="","",IF(F116="",Settings!$B$9,IFERROR(INDEX(Parts!$H$6:$H$45,MATCH(F116,Parts!$A$6:$A$45,0))+0,Settings!$B$9)))</f>
        <v/>
      </c>
      <c r="V116" s="22" t="str">
        <f aca="false">IF(B116="","",IF(INDEX($E$7:$E$336,ROW()-6+Settings!$B$7)&lt;&gt;"",INDEX($E$7:$E$336,ROW()-6+Settings!$B$7),E116+Settings!$B$7*D116/1440))</f>
        <v/>
      </c>
      <c r="W116" s="22" t="str">
        <f aca="false">IF(B116="","",IF(INDEX($E$7:$E$336,ROW()-6+Settings!$B$7+Settings!$B$8)&lt;&gt;"",INDEX($E$7:$E$336,ROW()-6+Settings!$B$7+Settings!$B$8),E116+(Settings!$B$7+Settings!$B$8)*D116/1440)+U116/1440)</f>
        <v/>
      </c>
      <c r="X116" s="18" t="str">
        <f aca="false">IF(B116="","",IF(INDEX($E$7:$E$336,ROW()-6+Settings!$B$7+Settings!$B$8)&lt;&gt;"","line","estimate"))</f>
        <v/>
      </c>
      <c r="Y116" s="25" t="str">
        <f aca="false">IF(B116="","",INT(W116-Settings!$B$6))</f>
        <v/>
      </c>
      <c r="Z116" s="19"/>
      <c r="AA116" s="18" t="str">
        <f aca="false">IF(B116="","",IF(AND(B116&lt;&gt;"Empty",F116=""),"part missing; ","")&amp;IF(AND(F116&lt;&gt;"",J116=""),"pieces missing; ","")&amp;IF(AND(F116&lt;&gt;"",O116=""),"part not on the Parts sheet; ","")&amp;IF(AND(B116="Empty",OR(F116&lt;&gt;"",K116&lt;&gt;"")),"empty tray with parts; ","")&amp;IF(AND(B116="Loaded",K116&lt;&gt;""),"second part: type Mixed; ","")&amp;IF(AND(Q116&lt;&gt;"",N(Q116)&gt;1),"over 100 % of the spec load; ","")&amp;IF(N(R116)&gt;Settings!$B$10,"over the tray maximum (kg); ","")&amp;IF(AND(K116&lt;&gt;"",IFERROR(INDEX(Parts!$C$6:$C$45,MATCH(K116,Parts!$A$6:$A$45,0)),O116)&lt;&gt;O116),"different processes in one tray; ","")&amp;IF(AND(S116&lt;&gt;"",T116=""),"rework reason missing; ",""))</f>
        <v/>
      </c>
    </row>
    <row r="117" customFormat="false" ht="15" hidden="false" customHeight="false" outlineLevel="0" collapsed="false">
      <c r="A117" s="18" t="str">
        <f aca="false">IF(B117="","",COUNTA(B$7:B117))</f>
        <v/>
      </c>
      <c r="B117" s="19"/>
      <c r="C117" s="20"/>
      <c r="D117" s="19" t="str">
        <f aca="false">IF(B117="","",IF(D116="",Report!$B$12,D116))</f>
        <v/>
      </c>
      <c r="E117" s="22" t="str">
        <f aca="false">IF(B117="","",IF(C117&lt;&gt;"",C117,E116+D116/1440+SUMIFS(Holds!$F$7:$F$46,Holds!$B$7:$B$46,"&gt;="&amp;E116,Holds!$B$7:$B$46,"&lt;"&amp;E116+D116/1440)/1440))</f>
        <v/>
      </c>
      <c r="F117" s="19"/>
      <c r="G117" s="19"/>
      <c r="H117" s="19"/>
      <c r="I117" s="19"/>
      <c r="J117" s="19"/>
      <c r="K117" s="19"/>
      <c r="L117" s="19"/>
      <c r="M117" s="19"/>
      <c r="N117" s="19"/>
      <c r="O117" s="18" t="str">
        <f aca="false">IF(F117="","",IFERROR(INDEX(Parts!$C$6:$C$45,MATCH(F117,Parts!$A$6:$A$45,0)),""))</f>
        <v/>
      </c>
      <c r="P117" s="18" t="str">
        <f aca="false">IF(F117="","",IFERROR(INDEX(Parts!$E$6:$E$45,MATCH(F117,Parts!$A$6:$A$45,0)),""))</f>
        <v/>
      </c>
      <c r="Q117" s="23" t="str">
        <f aca="false">IF(OR(J117="",P117="",P117=0),"",J117/P117+IF(OR(N117="",K117=""),0,IFERROR(N117/INDEX(Parts!$E$6:$E$45,MATCH(K117,Parts!$A$6:$A$45,0)),0)))</f>
        <v/>
      </c>
      <c r="R117" s="24" t="str">
        <f aca="false">IF(B117="","",IF(J117="",0,J117*IFERROR(INDEX(Parts!$F$6:$F$45,MATCH(F117,Parts!$A$6:$A$45,0)),0))+IF(N117="",0,N117*IFERROR(INDEX(Parts!$F$6:$F$45,MATCH(K117,Parts!$A$6:$A$45,0)),0)))</f>
        <v/>
      </c>
      <c r="S117" s="19"/>
      <c r="T117" s="19"/>
      <c r="U117" s="18" t="str">
        <f aca="false">IF(B117="","",IF(F117="",Settings!$B$9,IFERROR(INDEX(Parts!$H$6:$H$45,MATCH(F117,Parts!$A$6:$A$45,0))+0,Settings!$B$9)))</f>
        <v/>
      </c>
      <c r="V117" s="22" t="str">
        <f aca="false">IF(B117="","",IF(INDEX($E$7:$E$336,ROW()-6+Settings!$B$7)&lt;&gt;"",INDEX($E$7:$E$336,ROW()-6+Settings!$B$7),E117+Settings!$B$7*D117/1440))</f>
        <v/>
      </c>
      <c r="W117" s="22" t="str">
        <f aca="false">IF(B117="","",IF(INDEX($E$7:$E$336,ROW()-6+Settings!$B$7+Settings!$B$8)&lt;&gt;"",INDEX($E$7:$E$336,ROW()-6+Settings!$B$7+Settings!$B$8),E117+(Settings!$B$7+Settings!$B$8)*D117/1440)+U117/1440)</f>
        <v/>
      </c>
      <c r="X117" s="18" t="str">
        <f aca="false">IF(B117="","",IF(INDEX($E$7:$E$336,ROW()-6+Settings!$B$7+Settings!$B$8)&lt;&gt;"","line","estimate"))</f>
        <v/>
      </c>
      <c r="Y117" s="25" t="str">
        <f aca="false">IF(B117="","",INT(W117-Settings!$B$6))</f>
        <v/>
      </c>
      <c r="Z117" s="19"/>
      <c r="AA117" s="18" t="str">
        <f aca="false">IF(B117="","",IF(AND(B117&lt;&gt;"Empty",F117=""),"part missing; ","")&amp;IF(AND(F117&lt;&gt;"",J117=""),"pieces missing; ","")&amp;IF(AND(F117&lt;&gt;"",O117=""),"part not on the Parts sheet; ","")&amp;IF(AND(B117="Empty",OR(F117&lt;&gt;"",K117&lt;&gt;"")),"empty tray with parts; ","")&amp;IF(AND(B117="Loaded",K117&lt;&gt;""),"second part: type Mixed; ","")&amp;IF(AND(Q117&lt;&gt;"",N(Q117)&gt;1),"over 100 % of the spec load; ","")&amp;IF(N(R117)&gt;Settings!$B$10,"over the tray maximum (kg); ","")&amp;IF(AND(K117&lt;&gt;"",IFERROR(INDEX(Parts!$C$6:$C$45,MATCH(K117,Parts!$A$6:$A$45,0)),O117)&lt;&gt;O117),"different processes in one tray; ","")&amp;IF(AND(S117&lt;&gt;"",T117=""),"rework reason missing; ",""))</f>
        <v/>
      </c>
    </row>
    <row r="118" customFormat="false" ht="15" hidden="false" customHeight="false" outlineLevel="0" collapsed="false">
      <c r="A118" s="18" t="str">
        <f aca="false">IF(B118="","",COUNTA(B$7:B118))</f>
        <v/>
      </c>
      <c r="B118" s="19"/>
      <c r="C118" s="20"/>
      <c r="D118" s="19" t="str">
        <f aca="false">IF(B118="","",IF(D117="",Report!$B$12,D117))</f>
        <v/>
      </c>
      <c r="E118" s="22" t="str">
        <f aca="false">IF(B118="","",IF(C118&lt;&gt;"",C118,E117+D117/1440+SUMIFS(Holds!$F$7:$F$46,Holds!$B$7:$B$46,"&gt;="&amp;E117,Holds!$B$7:$B$46,"&lt;"&amp;E117+D117/1440)/1440))</f>
        <v/>
      </c>
      <c r="F118" s="19"/>
      <c r="G118" s="19"/>
      <c r="H118" s="19"/>
      <c r="I118" s="19"/>
      <c r="J118" s="19"/>
      <c r="K118" s="19"/>
      <c r="L118" s="19"/>
      <c r="M118" s="19"/>
      <c r="N118" s="19"/>
      <c r="O118" s="18" t="str">
        <f aca="false">IF(F118="","",IFERROR(INDEX(Parts!$C$6:$C$45,MATCH(F118,Parts!$A$6:$A$45,0)),""))</f>
        <v/>
      </c>
      <c r="P118" s="18" t="str">
        <f aca="false">IF(F118="","",IFERROR(INDEX(Parts!$E$6:$E$45,MATCH(F118,Parts!$A$6:$A$45,0)),""))</f>
        <v/>
      </c>
      <c r="Q118" s="23" t="str">
        <f aca="false">IF(OR(J118="",P118="",P118=0),"",J118/P118+IF(OR(N118="",K118=""),0,IFERROR(N118/INDEX(Parts!$E$6:$E$45,MATCH(K118,Parts!$A$6:$A$45,0)),0)))</f>
        <v/>
      </c>
      <c r="R118" s="24" t="str">
        <f aca="false">IF(B118="","",IF(J118="",0,J118*IFERROR(INDEX(Parts!$F$6:$F$45,MATCH(F118,Parts!$A$6:$A$45,0)),0))+IF(N118="",0,N118*IFERROR(INDEX(Parts!$F$6:$F$45,MATCH(K118,Parts!$A$6:$A$45,0)),0)))</f>
        <v/>
      </c>
      <c r="S118" s="19"/>
      <c r="T118" s="19"/>
      <c r="U118" s="18" t="str">
        <f aca="false">IF(B118="","",IF(F118="",Settings!$B$9,IFERROR(INDEX(Parts!$H$6:$H$45,MATCH(F118,Parts!$A$6:$A$45,0))+0,Settings!$B$9)))</f>
        <v/>
      </c>
      <c r="V118" s="22" t="str">
        <f aca="false">IF(B118="","",IF(INDEX($E$7:$E$336,ROW()-6+Settings!$B$7)&lt;&gt;"",INDEX($E$7:$E$336,ROW()-6+Settings!$B$7),E118+Settings!$B$7*D118/1440))</f>
        <v/>
      </c>
      <c r="W118" s="22" t="str">
        <f aca="false">IF(B118="","",IF(INDEX($E$7:$E$336,ROW()-6+Settings!$B$7+Settings!$B$8)&lt;&gt;"",INDEX($E$7:$E$336,ROW()-6+Settings!$B$7+Settings!$B$8),E118+(Settings!$B$7+Settings!$B$8)*D118/1440)+U118/1440)</f>
        <v/>
      </c>
      <c r="X118" s="18" t="str">
        <f aca="false">IF(B118="","",IF(INDEX($E$7:$E$336,ROW()-6+Settings!$B$7+Settings!$B$8)&lt;&gt;"","line","estimate"))</f>
        <v/>
      </c>
      <c r="Y118" s="25" t="str">
        <f aca="false">IF(B118="","",INT(W118-Settings!$B$6))</f>
        <v/>
      </c>
      <c r="Z118" s="19"/>
      <c r="AA118" s="18" t="str">
        <f aca="false">IF(B118="","",IF(AND(B118&lt;&gt;"Empty",F118=""),"part missing; ","")&amp;IF(AND(F118&lt;&gt;"",J118=""),"pieces missing; ","")&amp;IF(AND(F118&lt;&gt;"",O118=""),"part not on the Parts sheet; ","")&amp;IF(AND(B118="Empty",OR(F118&lt;&gt;"",K118&lt;&gt;"")),"empty tray with parts; ","")&amp;IF(AND(B118="Loaded",K118&lt;&gt;""),"second part: type Mixed; ","")&amp;IF(AND(Q118&lt;&gt;"",N(Q118)&gt;1),"over 100 % of the spec load; ","")&amp;IF(N(R118)&gt;Settings!$B$10,"over the tray maximum (kg); ","")&amp;IF(AND(K118&lt;&gt;"",IFERROR(INDEX(Parts!$C$6:$C$45,MATCH(K118,Parts!$A$6:$A$45,0)),O118)&lt;&gt;O118),"different processes in one tray; ","")&amp;IF(AND(S118&lt;&gt;"",T118=""),"rework reason missing; ",""))</f>
        <v/>
      </c>
    </row>
    <row r="119" customFormat="false" ht="15" hidden="false" customHeight="false" outlineLevel="0" collapsed="false">
      <c r="A119" s="18" t="str">
        <f aca="false">IF(B119="","",COUNTA(B$7:B119))</f>
        <v/>
      </c>
      <c r="B119" s="19"/>
      <c r="C119" s="20"/>
      <c r="D119" s="19" t="str">
        <f aca="false">IF(B119="","",IF(D118="",Report!$B$12,D118))</f>
        <v/>
      </c>
      <c r="E119" s="22" t="str">
        <f aca="false">IF(B119="","",IF(C119&lt;&gt;"",C119,E118+D118/1440+SUMIFS(Holds!$F$7:$F$46,Holds!$B$7:$B$46,"&gt;="&amp;E118,Holds!$B$7:$B$46,"&lt;"&amp;E118+D118/1440)/1440))</f>
        <v/>
      </c>
      <c r="F119" s="19"/>
      <c r="G119" s="19"/>
      <c r="H119" s="19"/>
      <c r="I119" s="19"/>
      <c r="J119" s="19"/>
      <c r="K119" s="19"/>
      <c r="L119" s="19"/>
      <c r="M119" s="19"/>
      <c r="N119" s="19"/>
      <c r="O119" s="18" t="str">
        <f aca="false">IF(F119="","",IFERROR(INDEX(Parts!$C$6:$C$45,MATCH(F119,Parts!$A$6:$A$45,0)),""))</f>
        <v/>
      </c>
      <c r="P119" s="18" t="str">
        <f aca="false">IF(F119="","",IFERROR(INDEX(Parts!$E$6:$E$45,MATCH(F119,Parts!$A$6:$A$45,0)),""))</f>
        <v/>
      </c>
      <c r="Q119" s="23" t="str">
        <f aca="false">IF(OR(J119="",P119="",P119=0),"",J119/P119+IF(OR(N119="",K119=""),0,IFERROR(N119/INDEX(Parts!$E$6:$E$45,MATCH(K119,Parts!$A$6:$A$45,0)),0)))</f>
        <v/>
      </c>
      <c r="R119" s="24" t="str">
        <f aca="false">IF(B119="","",IF(J119="",0,J119*IFERROR(INDEX(Parts!$F$6:$F$45,MATCH(F119,Parts!$A$6:$A$45,0)),0))+IF(N119="",0,N119*IFERROR(INDEX(Parts!$F$6:$F$45,MATCH(K119,Parts!$A$6:$A$45,0)),0)))</f>
        <v/>
      </c>
      <c r="S119" s="19"/>
      <c r="T119" s="19"/>
      <c r="U119" s="18" t="str">
        <f aca="false">IF(B119="","",IF(F119="",Settings!$B$9,IFERROR(INDEX(Parts!$H$6:$H$45,MATCH(F119,Parts!$A$6:$A$45,0))+0,Settings!$B$9)))</f>
        <v/>
      </c>
      <c r="V119" s="22" t="str">
        <f aca="false">IF(B119="","",IF(INDEX($E$7:$E$336,ROW()-6+Settings!$B$7)&lt;&gt;"",INDEX($E$7:$E$336,ROW()-6+Settings!$B$7),E119+Settings!$B$7*D119/1440))</f>
        <v/>
      </c>
      <c r="W119" s="22" t="str">
        <f aca="false">IF(B119="","",IF(INDEX($E$7:$E$336,ROW()-6+Settings!$B$7+Settings!$B$8)&lt;&gt;"",INDEX($E$7:$E$336,ROW()-6+Settings!$B$7+Settings!$B$8),E119+(Settings!$B$7+Settings!$B$8)*D119/1440)+U119/1440)</f>
        <v/>
      </c>
      <c r="X119" s="18" t="str">
        <f aca="false">IF(B119="","",IF(INDEX($E$7:$E$336,ROW()-6+Settings!$B$7+Settings!$B$8)&lt;&gt;"","line","estimate"))</f>
        <v/>
      </c>
      <c r="Y119" s="25" t="str">
        <f aca="false">IF(B119="","",INT(W119-Settings!$B$6))</f>
        <v/>
      </c>
      <c r="Z119" s="19"/>
      <c r="AA119" s="18" t="str">
        <f aca="false">IF(B119="","",IF(AND(B119&lt;&gt;"Empty",F119=""),"part missing; ","")&amp;IF(AND(F119&lt;&gt;"",J119=""),"pieces missing; ","")&amp;IF(AND(F119&lt;&gt;"",O119=""),"part not on the Parts sheet; ","")&amp;IF(AND(B119="Empty",OR(F119&lt;&gt;"",K119&lt;&gt;"")),"empty tray with parts; ","")&amp;IF(AND(B119="Loaded",K119&lt;&gt;""),"second part: type Mixed; ","")&amp;IF(AND(Q119&lt;&gt;"",N(Q119)&gt;1),"over 100 % of the spec load; ","")&amp;IF(N(R119)&gt;Settings!$B$10,"over the tray maximum (kg); ","")&amp;IF(AND(K119&lt;&gt;"",IFERROR(INDEX(Parts!$C$6:$C$45,MATCH(K119,Parts!$A$6:$A$45,0)),O119)&lt;&gt;O119),"different processes in one tray; ","")&amp;IF(AND(S119&lt;&gt;"",T119=""),"rework reason missing; ",""))</f>
        <v/>
      </c>
    </row>
    <row r="120" customFormat="false" ht="15" hidden="false" customHeight="false" outlineLevel="0" collapsed="false">
      <c r="A120" s="18" t="str">
        <f aca="false">IF(B120="","",COUNTA(B$7:B120))</f>
        <v/>
      </c>
      <c r="B120" s="19"/>
      <c r="C120" s="20"/>
      <c r="D120" s="19" t="str">
        <f aca="false">IF(B120="","",IF(D119="",Report!$B$12,D119))</f>
        <v/>
      </c>
      <c r="E120" s="22" t="str">
        <f aca="false">IF(B120="","",IF(C120&lt;&gt;"",C120,E119+D119/1440+SUMIFS(Holds!$F$7:$F$46,Holds!$B$7:$B$46,"&gt;="&amp;E119,Holds!$B$7:$B$46,"&lt;"&amp;E119+D119/1440)/1440))</f>
        <v/>
      </c>
      <c r="F120" s="19"/>
      <c r="G120" s="19"/>
      <c r="H120" s="19"/>
      <c r="I120" s="19"/>
      <c r="J120" s="19"/>
      <c r="K120" s="19"/>
      <c r="L120" s="19"/>
      <c r="M120" s="19"/>
      <c r="N120" s="19"/>
      <c r="O120" s="18" t="str">
        <f aca="false">IF(F120="","",IFERROR(INDEX(Parts!$C$6:$C$45,MATCH(F120,Parts!$A$6:$A$45,0)),""))</f>
        <v/>
      </c>
      <c r="P120" s="18" t="str">
        <f aca="false">IF(F120="","",IFERROR(INDEX(Parts!$E$6:$E$45,MATCH(F120,Parts!$A$6:$A$45,0)),""))</f>
        <v/>
      </c>
      <c r="Q120" s="23" t="str">
        <f aca="false">IF(OR(J120="",P120="",P120=0),"",J120/P120+IF(OR(N120="",K120=""),0,IFERROR(N120/INDEX(Parts!$E$6:$E$45,MATCH(K120,Parts!$A$6:$A$45,0)),0)))</f>
        <v/>
      </c>
      <c r="R120" s="24" t="str">
        <f aca="false">IF(B120="","",IF(J120="",0,J120*IFERROR(INDEX(Parts!$F$6:$F$45,MATCH(F120,Parts!$A$6:$A$45,0)),0))+IF(N120="",0,N120*IFERROR(INDEX(Parts!$F$6:$F$45,MATCH(K120,Parts!$A$6:$A$45,0)),0)))</f>
        <v/>
      </c>
      <c r="S120" s="19"/>
      <c r="T120" s="19"/>
      <c r="U120" s="18" t="str">
        <f aca="false">IF(B120="","",IF(F120="",Settings!$B$9,IFERROR(INDEX(Parts!$H$6:$H$45,MATCH(F120,Parts!$A$6:$A$45,0))+0,Settings!$B$9)))</f>
        <v/>
      </c>
      <c r="V120" s="22" t="str">
        <f aca="false">IF(B120="","",IF(INDEX($E$7:$E$336,ROW()-6+Settings!$B$7)&lt;&gt;"",INDEX($E$7:$E$336,ROW()-6+Settings!$B$7),E120+Settings!$B$7*D120/1440))</f>
        <v/>
      </c>
      <c r="W120" s="22" t="str">
        <f aca="false">IF(B120="","",IF(INDEX($E$7:$E$336,ROW()-6+Settings!$B$7+Settings!$B$8)&lt;&gt;"",INDEX($E$7:$E$336,ROW()-6+Settings!$B$7+Settings!$B$8),E120+(Settings!$B$7+Settings!$B$8)*D120/1440)+U120/1440)</f>
        <v/>
      </c>
      <c r="X120" s="18" t="str">
        <f aca="false">IF(B120="","",IF(INDEX($E$7:$E$336,ROW()-6+Settings!$B$7+Settings!$B$8)&lt;&gt;"","line","estimate"))</f>
        <v/>
      </c>
      <c r="Y120" s="25" t="str">
        <f aca="false">IF(B120="","",INT(W120-Settings!$B$6))</f>
        <v/>
      </c>
      <c r="Z120" s="19"/>
      <c r="AA120" s="18" t="str">
        <f aca="false">IF(B120="","",IF(AND(B120&lt;&gt;"Empty",F120=""),"part missing; ","")&amp;IF(AND(F120&lt;&gt;"",J120=""),"pieces missing; ","")&amp;IF(AND(F120&lt;&gt;"",O120=""),"part not on the Parts sheet; ","")&amp;IF(AND(B120="Empty",OR(F120&lt;&gt;"",K120&lt;&gt;"")),"empty tray with parts; ","")&amp;IF(AND(B120="Loaded",K120&lt;&gt;""),"second part: type Mixed; ","")&amp;IF(AND(Q120&lt;&gt;"",N(Q120)&gt;1),"over 100 % of the spec load; ","")&amp;IF(N(R120)&gt;Settings!$B$10,"over the tray maximum (kg); ","")&amp;IF(AND(K120&lt;&gt;"",IFERROR(INDEX(Parts!$C$6:$C$45,MATCH(K120,Parts!$A$6:$A$45,0)),O120)&lt;&gt;O120),"different processes in one tray; ","")&amp;IF(AND(S120&lt;&gt;"",T120=""),"rework reason missing; ",""))</f>
        <v/>
      </c>
    </row>
    <row r="121" customFormat="false" ht="15" hidden="false" customHeight="false" outlineLevel="0" collapsed="false">
      <c r="A121" s="18" t="str">
        <f aca="false">IF(B121="","",COUNTA(B$7:B121))</f>
        <v/>
      </c>
      <c r="B121" s="19"/>
      <c r="C121" s="20"/>
      <c r="D121" s="19" t="str">
        <f aca="false">IF(B121="","",IF(D120="",Report!$B$12,D120))</f>
        <v/>
      </c>
      <c r="E121" s="22" t="str">
        <f aca="false">IF(B121="","",IF(C121&lt;&gt;"",C121,E120+D120/1440+SUMIFS(Holds!$F$7:$F$46,Holds!$B$7:$B$46,"&gt;="&amp;E120,Holds!$B$7:$B$46,"&lt;"&amp;E120+D120/1440)/1440))</f>
        <v/>
      </c>
      <c r="F121" s="19"/>
      <c r="G121" s="19"/>
      <c r="H121" s="19"/>
      <c r="I121" s="19"/>
      <c r="J121" s="19"/>
      <c r="K121" s="19"/>
      <c r="L121" s="19"/>
      <c r="M121" s="19"/>
      <c r="N121" s="19"/>
      <c r="O121" s="18" t="str">
        <f aca="false">IF(F121="","",IFERROR(INDEX(Parts!$C$6:$C$45,MATCH(F121,Parts!$A$6:$A$45,0)),""))</f>
        <v/>
      </c>
      <c r="P121" s="18" t="str">
        <f aca="false">IF(F121="","",IFERROR(INDEX(Parts!$E$6:$E$45,MATCH(F121,Parts!$A$6:$A$45,0)),""))</f>
        <v/>
      </c>
      <c r="Q121" s="23" t="str">
        <f aca="false">IF(OR(J121="",P121="",P121=0),"",J121/P121+IF(OR(N121="",K121=""),0,IFERROR(N121/INDEX(Parts!$E$6:$E$45,MATCH(K121,Parts!$A$6:$A$45,0)),0)))</f>
        <v/>
      </c>
      <c r="R121" s="24" t="str">
        <f aca="false">IF(B121="","",IF(J121="",0,J121*IFERROR(INDEX(Parts!$F$6:$F$45,MATCH(F121,Parts!$A$6:$A$45,0)),0))+IF(N121="",0,N121*IFERROR(INDEX(Parts!$F$6:$F$45,MATCH(K121,Parts!$A$6:$A$45,0)),0)))</f>
        <v/>
      </c>
      <c r="S121" s="19"/>
      <c r="T121" s="19"/>
      <c r="U121" s="18" t="str">
        <f aca="false">IF(B121="","",IF(F121="",Settings!$B$9,IFERROR(INDEX(Parts!$H$6:$H$45,MATCH(F121,Parts!$A$6:$A$45,0))+0,Settings!$B$9)))</f>
        <v/>
      </c>
      <c r="V121" s="22" t="str">
        <f aca="false">IF(B121="","",IF(INDEX($E$7:$E$336,ROW()-6+Settings!$B$7)&lt;&gt;"",INDEX($E$7:$E$336,ROW()-6+Settings!$B$7),E121+Settings!$B$7*D121/1440))</f>
        <v/>
      </c>
      <c r="W121" s="22" t="str">
        <f aca="false">IF(B121="","",IF(INDEX($E$7:$E$336,ROW()-6+Settings!$B$7+Settings!$B$8)&lt;&gt;"",INDEX($E$7:$E$336,ROW()-6+Settings!$B$7+Settings!$B$8),E121+(Settings!$B$7+Settings!$B$8)*D121/1440)+U121/1440)</f>
        <v/>
      </c>
      <c r="X121" s="18" t="str">
        <f aca="false">IF(B121="","",IF(INDEX($E$7:$E$336,ROW()-6+Settings!$B$7+Settings!$B$8)&lt;&gt;"","line","estimate"))</f>
        <v/>
      </c>
      <c r="Y121" s="25" t="str">
        <f aca="false">IF(B121="","",INT(W121-Settings!$B$6))</f>
        <v/>
      </c>
      <c r="Z121" s="19"/>
      <c r="AA121" s="18" t="str">
        <f aca="false">IF(B121="","",IF(AND(B121&lt;&gt;"Empty",F121=""),"part missing; ","")&amp;IF(AND(F121&lt;&gt;"",J121=""),"pieces missing; ","")&amp;IF(AND(F121&lt;&gt;"",O121=""),"part not on the Parts sheet; ","")&amp;IF(AND(B121="Empty",OR(F121&lt;&gt;"",K121&lt;&gt;"")),"empty tray with parts; ","")&amp;IF(AND(B121="Loaded",K121&lt;&gt;""),"second part: type Mixed; ","")&amp;IF(AND(Q121&lt;&gt;"",N(Q121)&gt;1),"over 100 % of the spec load; ","")&amp;IF(N(R121)&gt;Settings!$B$10,"over the tray maximum (kg); ","")&amp;IF(AND(K121&lt;&gt;"",IFERROR(INDEX(Parts!$C$6:$C$45,MATCH(K121,Parts!$A$6:$A$45,0)),O121)&lt;&gt;O121),"different processes in one tray; ","")&amp;IF(AND(S121&lt;&gt;"",T121=""),"rework reason missing; ",""))</f>
        <v/>
      </c>
    </row>
    <row r="122" customFormat="false" ht="15" hidden="false" customHeight="false" outlineLevel="0" collapsed="false">
      <c r="A122" s="18" t="str">
        <f aca="false">IF(B122="","",COUNTA(B$7:B122))</f>
        <v/>
      </c>
      <c r="B122" s="19"/>
      <c r="C122" s="20"/>
      <c r="D122" s="19" t="str">
        <f aca="false">IF(B122="","",IF(D121="",Report!$B$12,D121))</f>
        <v/>
      </c>
      <c r="E122" s="22" t="str">
        <f aca="false">IF(B122="","",IF(C122&lt;&gt;"",C122,E121+D121/1440+SUMIFS(Holds!$F$7:$F$46,Holds!$B$7:$B$46,"&gt;="&amp;E121,Holds!$B$7:$B$46,"&lt;"&amp;E121+D121/1440)/1440))</f>
        <v/>
      </c>
      <c r="F122" s="19"/>
      <c r="G122" s="19"/>
      <c r="H122" s="19"/>
      <c r="I122" s="19"/>
      <c r="J122" s="19"/>
      <c r="K122" s="19"/>
      <c r="L122" s="19"/>
      <c r="M122" s="19"/>
      <c r="N122" s="19"/>
      <c r="O122" s="18" t="str">
        <f aca="false">IF(F122="","",IFERROR(INDEX(Parts!$C$6:$C$45,MATCH(F122,Parts!$A$6:$A$45,0)),""))</f>
        <v/>
      </c>
      <c r="P122" s="18" t="str">
        <f aca="false">IF(F122="","",IFERROR(INDEX(Parts!$E$6:$E$45,MATCH(F122,Parts!$A$6:$A$45,0)),""))</f>
        <v/>
      </c>
      <c r="Q122" s="23" t="str">
        <f aca="false">IF(OR(J122="",P122="",P122=0),"",J122/P122+IF(OR(N122="",K122=""),0,IFERROR(N122/INDEX(Parts!$E$6:$E$45,MATCH(K122,Parts!$A$6:$A$45,0)),0)))</f>
        <v/>
      </c>
      <c r="R122" s="24" t="str">
        <f aca="false">IF(B122="","",IF(J122="",0,J122*IFERROR(INDEX(Parts!$F$6:$F$45,MATCH(F122,Parts!$A$6:$A$45,0)),0))+IF(N122="",0,N122*IFERROR(INDEX(Parts!$F$6:$F$45,MATCH(K122,Parts!$A$6:$A$45,0)),0)))</f>
        <v/>
      </c>
      <c r="S122" s="19"/>
      <c r="T122" s="19"/>
      <c r="U122" s="18" t="str">
        <f aca="false">IF(B122="","",IF(F122="",Settings!$B$9,IFERROR(INDEX(Parts!$H$6:$H$45,MATCH(F122,Parts!$A$6:$A$45,0))+0,Settings!$B$9)))</f>
        <v/>
      </c>
      <c r="V122" s="22" t="str">
        <f aca="false">IF(B122="","",IF(INDEX($E$7:$E$336,ROW()-6+Settings!$B$7)&lt;&gt;"",INDEX($E$7:$E$336,ROW()-6+Settings!$B$7),E122+Settings!$B$7*D122/1440))</f>
        <v/>
      </c>
      <c r="W122" s="22" t="str">
        <f aca="false">IF(B122="","",IF(INDEX($E$7:$E$336,ROW()-6+Settings!$B$7+Settings!$B$8)&lt;&gt;"",INDEX($E$7:$E$336,ROW()-6+Settings!$B$7+Settings!$B$8),E122+(Settings!$B$7+Settings!$B$8)*D122/1440)+U122/1440)</f>
        <v/>
      </c>
      <c r="X122" s="18" t="str">
        <f aca="false">IF(B122="","",IF(INDEX($E$7:$E$336,ROW()-6+Settings!$B$7+Settings!$B$8)&lt;&gt;"","line","estimate"))</f>
        <v/>
      </c>
      <c r="Y122" s="25" t="str">
        <f aca="false">IF(B122="","",INT(W122-Settings!$B$6))</f>
        <v/>
      </c>
      <c r="Z122" s="19"/>
      <c r="AA122" s="18" t="str">
        <f aca="false">IF(B122="","",IF(AND(B122&lt;&gt;"Empty",F122=""),"part missing; ","")&amp;IF(AND(F122&lt;&gt;"",J122=""),"pieces missing; ","")&amp;IF(AND(F122&lt;&gt;"",O122=""),"part not on the Parts sheet; ","")&amp;IF(AND(B122="Empty",OR(F122&lt;&gt;"",K122&lt;&gt;"")),"empty tray with parts; ","")&amp;IF(AND(B122="Loaded",K122&lt;&gt;""),"second part: type Mixed; ","")&amp;IF(AND(Q122&lt;&gt;"",N(Q122)&gt;1),"over 100 % of the spec load; ","")&amp;IF(N(R122)&gt;Settings!$B$10,"over the tray maximum (kg); ","")&amp;IF(AND(K122&lt;&gt;"",IFERROR(INDEX(Parts!$C$6:$C$45,MATCH(K122,Parts!$A$6:$A$45,0)),O122)&lt;&gt;O122),"different processes in one tray; ","")&amp;IF(AND(S122&lt;&gt;"",T122=""),"rework reason missing; ",""))</f>
        <v/>
      </c>
    </row>
    <row r="123" customFormat="false" ht="15" hidden="false" customHeight="false" outlineLevel="0" collapsed="false">
      <c r="A123" s="18" t="str">
        <f aca="false">IF(B123="","",COUNTA(B$7:B123))</f>
        <v/>
      </c>
      <c r="B123" s="19"/>
      <c r="C123" s="20"/>
      <c r="D123" s="19" t="str">
        <f aca="false">IF(B123="","",IF(D122="",Report!$B$12,D122))</f>
        <v/>
      </c>
      <c r="E123" s="22" t="str">
        <f aca="false">IF(B123="","",IF(C123&lt;&gt;"",C123,E122+D122/1440+SUMIFS(Holds!$F$7:$F$46,Holds!$B$7:$B$46,"&gt;="&amp;E122,Holds!$B$7:$B$46,"&lt;"&amp;E122+D122/1440)/1440))</f>
        <v/>
      </c>
      <c r="F123" s="19"/>
      <c r="G123" s="19"/>
      <c r="H123" s="19"/>
      <c r="I123" s="19"/>
      <c r="J123" s="19"/>
      <c r="K123" s="19"/>
      <c r="L123" s="19"/>
      <c r="M123" s="19"/>
      <c r="N123" s="19"/>
      <c r="O123" s="18" t="str">
        <f aca="false">IF(F123="","",IFERROR(INDEX(Parts!$C$6:$C$45,MATCH(F123,Parts!$A$6:$A$45,0)),""))</f>
        <v/>
      </c>
      <c r="P123" s="18" t="str">
        <f aca="false">IF(F123="","",IFERROR(INDEX(Parts!$E$6:$E$45,MATCH(F123,Parts!$A$6:$A$45,0)),""))</f>
        <v/>
      </c>
      <c r="Q123" s="23" t="str">
        <f aca="false">IF(OR(J123="",P123="",P123=0),"",J123/P123+IF(OR(N123="",K123=""),0,IFERROR(N123/INDEX(Parts!$E$6:$E$45,MATCH(K123,Parts!$A$6:$A$45,0)),0)))</f>
        <v/>
      </c>
      <c r="R123" s="24" t="str">
        <f aca="false">IF(B123="","",IF(J123="",0,J123*IFERROR(INDEX(Parts!$F$6:$F$45,MATCH(F123,Parts!$A$6:$A$45,0)),0))+IF(N123="",0,N123*IFERROR(INDEX(Parts!$F$6:$F$45,MATCH(K123,Parts!$A$6:$A$45,0)),0)))</f>
        <v/>
      </c>
      <c r="S123" s="19"/>
      <c r="T123" s="19"/>
      <c r="U123" s="18" t="str">
        <f aca="false">IF(B123="","",IF(F123="",Settings!$B$9,IFERROR(INDEX(Parts!$H$6:$H$45,MATCH(F123,Parts!$A$6:$A$45,0))+0,Settings!$B$9)))</f>
        <v/>
      </c>
      <c r="V123" s="22" t="str">
        <f aca="false">IF(B123="","",IF(INDEX($E$7:$E$336,ROW()-6+Settings!$B$7)&lt;&gt;"",INDEX($E$7:$E$336,ROW()-6+Settings!$B$7),E123+Settings!$B$7*D123/1440))</f>
        <v/>
      </c>
      <c r="W123" s="22" t="str">
        <f aca="false">IF(B123="","",IF(INDEX($E$7:$E$336,ROW()-6+Settings!$B$7+Settings!$B$8)&lt;&gt;"",INDEX($E$7:$E$336,ROW()-6+Settings!$B$7+Settings!$B$8),E123+(Settings!$B$7+Settings!$B$8)*D123/1440)+U123/1440)</f>
        <v/>
      </c>
      <c r="X123" s="18" t="str">
        <f aca="false">IF(B123="","",IF(INDEX($E$7:$E$336,ROW()-6+Settings!$B$7+Settings!$B$8)&lt;&gt;"","line","estimate"))</f>
        <v/>
      </c>
      <c r="Y123" s="25" t="str">
        <f aca="false">IF(B123="","",INT(W123-Settings!$B$6))</f>
        <v/>
      </c>
      <c r="Z123" s="19"/>
      <c r="AA123" s="18" t="str">
        <f aca="false">IF(B123="","",IF(AND(B123&lt;&gt;"Empty",F123=""),"part missing; ","")&amp;IF(AND(F123&lt;&gt;"",J123=""),"pieces missing; ","")&amp;IF(AND(F123&lt;&gt;"",O123=""),"part not on the Parts sheet; ","")&amp;IF(AND(B123="Empty",OR(F123&lt;&gt;"",K123&lt;&gt;"")),"empty tray with parts; ","")&amp;IF(AND(B123="Loaded",K123&lt;&gt;""),"second part: type Mixed; ","")&amp;IF(AND(Q123&lt;&gt;"",N(Q123)&gt;1),"over 100 % of the spec load; ","")&amp;IF(N(R123)&gt;Settings!$B$10,"over the tray maximum (kg); ","")&amp;IF(AND(K123&lt;&gt;"",IFERROR(INDEX(Parts!$C$6:$C$45,MATCH(K123,Parts!$A$6:$A$45,0)),O123)&lt;&gt;O123),"different processes in one tray; ","")&amp;IF(AND(S123&lt;&gt;"",T123=""),"rework reason missing; ",""))</f>
        <v/>
      </c>
    </row>
    <row r="124" customFormat="false" ht="15" hidden="false" customHeight="false" outlineLevel="0" collapsed="false">
      <c r="A124" s="18" t="str">
        <f aca="false">IF(B124="","",COUNTA(B$7:B124))</f>
        <v/>
      </c>
      <c r="B124" s="19"/>
      <c r="C124" s="20"/>
      <c r="D124" s="19" t="str">
        <f aca="false">IF(B124="","",IF(D123="",Report!$B$12,D123))</f>
        <v/>
      </c>
      <c r="E124" s="22" t="str">
        <f aca="false">IF(B124="","",IF(C124&lt;&gt;"",C124,E123+D123/1440+SUMIFS(Holds!$F$7:$F$46,Holds!$B$7:$B$46,"&gt;="&amp;E123,Holds!$B$7:$B$46,"&lt;"&amp;E123+D123/1440)/1440))</f>
        <v/>
      </c>
      <c r="F124" s="19"/>
      <c r="G124" s="19"/>
      <c r="H124" s="19"/>
      <c r="I124" s="19"/>
      <c r="J124" s="19"/>
      <c r="K124" s="19"/>
      <c r="L124" s="19"/>
      <c r="M124" s="19"/>
      <c r="N124" s="19"/>
      <c r="O124" s="18" t="str">
        <f aca="false">IF(F124="","",IFERROR(INDEX(Parts!$C$6:$C$45,MATCH(F124,Parts!$A$6:$A$45,0)),""))</f>
        <v/>
      </c>
      <c r="P124" s="18" t="str">
        <f aca="false">IF(F124="","",IFERROR(INDEX(Parts!$E$6:$E$45,MATCH(F124,Parts!$A$6:$A$45,0)),""))</f>
        <v/>
      </c>
      <c r="Q124" s="23" t="str">
        <f aca="false">IF(OR(J124="",P124="",P124=0),"",J124/P124+IF(OR(N124="",K124=""),0,IFERROR(N124/INDEX(Parts!$E$6:$E$45,MATCH(K124,Parts!$A$6:$A$45,0)),0)))</f>
        <v/>
      </c>
      <c r="R124" s="24" t="str">
        <f aca="false">IF(B124="","",IF(J124="",0,J124*IFERROR(INDEX(Parts!$F$6:$F$45,MATCH(F124,Parts!$A$6:$A$45,0)),0))+IF(N124="",0,N124*IFERROR(INDEX(Parts!$F$6:$F$45,MATCH(K124,Parts!$A$6:$A$45,0)),0)))</f>
        <v/>
      </c>
      <c r="S124" s="19"/>
      <c r="T124" s="19"/>
      <c r="U124" s="18" t="str">
        <f aca="false">IF(B124="","",IF(F124="",Settings!$B$9,IFERROR(INDEX(Parts!$H$6:$H$45,MATCH(F124,Parts!$A$6:$A$45,0))+0,Settings!$B$9)))</f>
        <v/>
      </c>
      <c r="V124" s="22" t="str">
        <f aca="false">IF(B124="","",IF(INDEX($E$7:$E$336,ROW()-6+Settings!$B$7)&lt;&gt;"",INDEX($E$7:$E$336,ROW()-6+Settings!$B$7),E124+Settings!$B$7*D124/1440))</f>
        <v/>
      </c>
      <c r="W124" s="22" t="str">
        <f aca="false">IF(B124="","",IF(INDEX($E$7:$E$336,ROW()-6+Settings!$B$7+Settings!$B$8)&lt;&gt;"",INDEX($E$7:$E$336,ROW()-6+Settings!$B$7+Settings!$B$8),E124+(Settings!$B$7+Settings!$B$8)*D124/1440)+U124/1440)</f>
        <v/>
      </c>
      <c r="X124" s="18" t="str">
        <f aca="false">IF(B124="","",IF(INDEX($E$7:$E$336,ROW()-6+Settings!$B$7+Settings!$B$8)&lt;&gt;"","line","estimate"))</f>
        <v/>
      </c>
      <c r="Y124" s="25" t="str">
        <f aca="false">IF(B124="","",INT(W124-Settings!$B$6))</f>
        <v/>
      </c>
      <c r="Z124" s="19"/>
      <c r="AA124" s="18" t="str">
        <f aca="false">IF(B124="","",IF(AND(B124&lt;&gt;"Empty",F124=""),"part missing; ","")&amp;IF(AND(F124&lt;&gt;"",J124=""),"pieces missing; ","")&amp;IF(AND(F124&lt;&gt;"",O124=""),"part not on the Parts sheet; ","")&amp;IF(AND(B124="Empty",OR(F124&lt;&gt;"",K124&lt;&gt;"")),"empty tray with parts; ","")&amp;IF(AND(B124="Loaded",K124&lt;&gt;""),"second part: type Mixed; ","")&amp;IF(AND(Q124&lt;&gt;"",N(Q124)&gt;1),"over 100 % of the spec load; ","")&amp;IF(N(R124)&gt;Settings!$B$10,"over the tray maximum (kg); ","")&amp;IF(AND(K124&lt;&gt;"",IFERROR(INDEX(Parts!$C$6:$C$45,MATCH(K124,Parts!$A$6:$A$45,0)),O124)&lt;&gt;O124),"different processes in one tray; ","")&amp;IF(AND(S124&lt;&gt;"",T124=""),"rework reason missing; ",""))</f>
        <v/>
      </c>
    </row>
    <row r="125" customFormat="false" ht="15" hidden="false" customHeight="false" outlineLevel="0" collapsed="false">
      <c r="A125" s="18" t="str">
        <f aca="false">IF(B125="","",COUNTA(B$7:B125))</f>
        <v/>
      </c>
      <c r="B125" s="19"/>
      <c r="C125" s="20"/>
      <c r="D125" s="19" t="str">
        <f aca="false">IF(B125="","",IF(D124="",Report!$B$12,D124))</f>
        <v/>
      </c>
      <c r="E125" s="22" t="str">
        <f aca="false">IF(B125="","",IF(C125&lt;&gt;"",C125,E124+D124/1440+SUMIFS(Holds!$F$7:$F$46,Holds!$B$7:$B$46,"&gt;="&amp;E124,Holds!$B$7:$B$46,"&lt;"&amp;E124+D124/1440)/1440))</f>
        <v/>
      </c>
      <c r="F125" s="19"/>
      <c r="G125" s="19"/>
      <c r="H125" s="19"/>
      <c r="I125" s="19"/>
      <c r="J125" s="19"/>
      <c r="K125" s="19"/>
      <c r="L125" s="19"/>
      <c r="M125" s="19"/>
      <c r="N125" s="19"/>
      <c r="O125" s="18" t="str">
        <f aca="false">IF(F125="","",IFERROR(INDEX(Parts!$C$6:$C$45,MATCH(F125,Parts!$A$6:$A$45,0)),""))</f>
        <v/>
      </c>
      <c r="P125" s="18" t="str">
        <f aca="false">IF(F125="","",IFERROR(INDEX(Parts!$E$6:$E$45,MATCH(F125,Parts!$A$6:$A$45,0)),""))</f>
        <v/>
      </c>
      <c r="Q125" s="23" t="str">
        <f aca="false">IF(OR(J125="",P125="",P125=0),"",J125/P125+IF(OR(N125="",K125=""),0,IFERROR(N125/INDEX(Parts!$E$6:$E$45,MATCH(K125,Parts!$A$6:$A$45,0)),0)))</f>
        <v/>
      </c>
      <c r="R125" s="24" t="str">
        <f aca="false">IF(B125="","",IF(J125="",0,J125*IFERROR(INDEX(Parts!$F$6:$F$45,MATCH(F125,Parts!$A$6:$A$45,0)),0))+IF(N125="",0,N125*IFERROR(INDEX(Parts!$F$6:$F$45,MATCH(K125,Parts!$A$6:$A$45,0)),0)))</f>
        <v/>
      </c>
      <c r="S125" s="19"/>
      <c r="T125" s="19"/>
      <c r="U125" s="18" t="str">
        <f aca="false">IF(B125="","",IF(F125="",Settings!$B$9,IFERROR(INDEX(Parts!$H$6:$H$45,MATCH(F125,Parts!$A$6:$A$45,0))+0,Settings!$B$9)))</f>
        <v/>
      </c>
      <c r="V125" s="22" t="str">
        <f aca="false">IF(B125="","",IF(INDEX($E$7:$E$336,ROW()-6+Settings!$B$7)&lt;&gt;"",INDEX($E$7:$E$336,ROW()-6+Settings!$B$7),E125+Settings!$B$7*D125/1440))</f>
        <v/>
      </c>
      <c r="W125" s="22" t="str">
        <f aca="false">IF(B125="","",IF(INDEX($E$7:$E$336,ROW()-6+Settings!$B$7+Settings!$B$8)&lt;&gt;"",INDEX($E$7:$E$336,ROW()-6+Settings!$B$7+Settings!$B$8),E125+(Settings!$B$7+Settings!$B$8)*D125/1440)+U125/1440)</f>
        <v/>
      </c>
      <c r="X125" s="18" t="str">
        <f aca="false">IF(B125="","",IF(INDEX($E$7:$E$336,ROW()-6+Settings!$B$7+Settings!$B$8)&lt;&gt;"","line","estimate"))</f>
        <v/>
      </c>
      <c r="Y125" s="25" t="str">
        <f aca="false">IF(B125="","",INT(W125-Settings!$B$6))</f>
        <v/>
      </c>
      <c r="Z125" s="19"/>
      <c r="AA125" s="18" t="str">
        <f aca="false">IF(B125="","",IF(AND(B125&lt;&gt;"Empty",F125=""),"part missing; ","")&amp;IF(AND(F125&lt;&gt;"",J125=""),"pieces missing; ","")&amp;IF(AND(F125&lt;&gt;"",O125=""),"part not on the Parts sheet; ","")&amp;IF(AND(B125="Empty",OR(F125&lt;&gt;"",K125&lt;&gt;"")),"empty tray with parts; ","")&amp;IF(AND(B125="Loaded",K125&lt;&gt;""),"second part: type Mixed; ","")&amp;IF(AND(Q125&lt;&gt;"",N(Q125)&gt;1),"over 100 % of the spec load; ","")&amp;IF(N(R125)&gt;Settings!$B$10,"over the tray maximum (kg); ","")&amp;IF(AND(K125&lt;&gt;"",IFERROR(INDEX(Parts!$C$6:$C$45,MATCH(K125,Parts!$A$6:$A$45,0)),O125)&lt;&gt;O125),"different processes in one tray; ","")&amp;IF(AND(S125&lt;&gt;"",T125=""),"rework reason missing; ",""))</f>
        <v/>
      </c>
    </row>
    <row r="126" customFormat="false" ht="15" hidden="false" customHeight="false" outlineLevel="0" collapsed="false">
      <c r="A126" s="18" t="str">
        <f aca="false">IF(B126="","",COUNTA(B$7:B126))</f>
        <v/>
      </c>
      <c r="B126" s="19"/>
      <c r="C126" s="20"/>
      <c r="D126" s="19" t="str">
        <f aca="false">IF(B126="","",IF(D125="",Report!$B$12,D125))</f>
        <v/>
      </c>
      <c r="E126" s="22" t="str">
        <f aca="false">IF(B126="","",IF(C126&lt;&gt;"",C126,E125+D125/1440+SUMIFS(Holds!$F$7:$F$46,Holds!$B$7:$B$46,"&gt;="&amp;E125,Holds!$B$7:$B$46,"&lt;"&amp;E125+D125/1440)/1440))</f>
        <v/>
      </c>
      <c r="F126" s="19"/>
      <c r="G126" s="19"/>
      <c r="H126" s="19"/>
      <c r="I126" s="19"/>
      <c r="J126" s="19"/>
      <c r="K126" s="19"/>
      <c r="L126" s="19"/>
      <c r="M126" s="19"/>
      <c r="N126" s="19"/>
      <c r="O126" s="18" t="str">
        <f aca="false">IF(F126="","",IFERROR(INDEX(Parts!$C$6:$C$45,MATCH(F126,Parts!$A$6:$A$45,0)),""))</f>
        <v/>
      </c>
      <c r="P126" s="18" t="str">
        <f aca="false">IF(F126="","",IFERROR(INDEX(Parts!$E$6:$E$45,MATCH(F126,Parts!$A$6:$A$45,0)),""))</f>
        <v/>
      </c>
      <c r="Q126" s="23" t="str">
        <f aca="false">IF(OR(J126="",P126="",P126=0),"",J126/P126+IF(OR(N126="",K126=""),0,IFERROR(N126/INDEX(Parts!$E$6:$E$45,MATCH(K126,Parts!$A$6:$A$45,0)),0)))</f>
        <v/>
      </c>
      <c r="R126" s="24" t="str">
        <f aca="false">IF(B126="","",IF(J126="",0,J126*IFERROR(INDEX(Parts!$F$6:$F$45,MATCH(F126,Parts!$A$6:$A$45,0)),0))+IF(N126="",0,N126*IFERROR(INDEX(Parts!$F$6:$F$45,MATCH(K126,Parts!$A$6:$A$45,0)),0)))</f>
        <v/>
      </c>
      <c r="S126" s="19"/>
      <c r="T126" s="19"/>
      <c r="U126" s="18" t="str">
        <f aca="false">IF(B126="","",IF(F126="",Settings!$B$9,IFERROR(INDEX(Parts!$H$6:$H$45,MATCH(F126,Parts!$A$6:$A$45,0))+0,Settings!$B$9)))</f>
        <v/>
      </c>
      <c r="V126" s="22" t="str">
        <f aca="false">IF(B126="","",IF(INDEX($E$7:$E$336,ROW()-6+Settings!$B$7)&lt;&gt;"",INDEX($E$7:$E$336,ROW()-6+Settings!$B$7),E126+Settings!$B$7*D126/1440))</f>
        <v/>
      </c>
      <c r="W126" s="22" t="str">
        <f aca="false">IF(B126="","",IF(INDEX($E$7:$E$336,ROW()-6+Settings!$B$7+Settings!$B$8)&lt;&gt;"",INDEX($E$7:$E$336,ROW()-6+Settings!$B$7+Settings!$B$8),E126+(Settings!$B$7+Settings!$B$8)*D126/1440)+U126/1440)</f>
        <v/>
      </c>
      <c r="X126" s="18" t="str">
        <f aca="false">IF(B126="","",IF(INDEX($E$7:$E$336,ROW()-6+Settings!$B$7+Settings!$B$8)&lt;&gt;"","line","estimate"))</f>
        <v/>
      </c>
      <c r="Y126" s="25" t="str">
        <f aca="false">IF(B126="","",INT(W126-Settings!$B$6))</f>
        <v/>
      </c>
      <c r="Z126" s="19"/>
      <c r="AA126" s="18" t="str">
        <f aca="false">IF(B126="","",IF(AND(B126&lt;&gt;"Empty",F126=""),"part missing; ","")&amp;IF(AND(F126&lt;&gt;"",J126=""),"pieces missing; ","")&amp;IF(AND(F126&lt;&gt;"",O126=""),"part not on the Parts sheet; ","")&amp;IF(AND(B126="Empty",OR(F126&lt;&gt;"",K126&lt;&gt;"")),"empty tray with parts; ","")&amp;IF(AND(B126="Loaded",K126&lt;&gt;""),"second part: type Mixed; ","")&amp;IF(AND(Q126&lt;&gt;"",N(Q126)&gt;1),"over 100 % of the spec load; ","")&amp;IF(N(R126)&gt;Settings!$B$10,"over the tray maximum (kg); ","")&amp;IF(AND(K126&lt;&gt;"",IFERROR(INDEX(Parts!$C$6:$C$45,MATCH(K126,Parts!$A$6:$A$45,0)),O126)&lt;&gt;O126),"different processes in one tray; ","")&amp;IF(AND(S126&lt;&gt;"",T126=""),"rework reason missing; ",""))</f>
        <v/>
      </c>
    </row>
    <row r="127" customFormat="false" ht="15" hidden="false" customHeight="false" outlineLevel="0" collapsed="false">
      <c r="A127" s="18" t="str">
        <f aca="false">IF(B127="","",COUNTA(B$7:B127))</f>
        <v/>
      </c>
      <c r="B127" s="19"/>
      <c r="C127" s="20"/>
      <c r="D127" s="19" t="str">
        <f aca="false">IF(B127="","",IF(D126="",Report!$B$12,D126))</f>
        <v/>
      </c>
      <c r="E127" s="22" t="str">
        <f aca="false">IF(B127="","",IF(C127&lt;&gt;"",C127,E126+D126/1440+SUMIFS(Holds!$F$7:$F$46,Holds!$B$7:$B$46,"&gt;="&amp;E126,Holds!$B$7:$B$46,"&lt;"&amp;E126+D126/1440)/1440))</f>
        <v/>
      </c>
      <c r="F127" s="19"/>
      <c r="G127" s="19"/>
      <c r="H127" s="19"/>
      <c r="I127" s="19"/>
      <c r="J127" s="19"/>
      <c r="K127" s="19"/>
      <c r="L127" s="19"/>
      <c r="M127" s="19"/>
      <c r="N127" s="19"/>
      <c r="O127" s="18" t="str">
        <f aca="false">IF(F127="","",IFERROR(INDEX(Parts!$C$6:$C$45,MATCH(F127,Parts!$A$6:$A$45,0)),""))</f>
        <v/>
      </c>
      <c r="P127" s="18" t="str">
        <f aca="false">IF(F127="","",IFERROR(INDEX(Parts!$E$6:$E$45,MATCH(F127,Parts!$A$6:$A$45,0)),""))</f>
        <v/>
      </c>
      <c r="Q127" s="23" t="str">
        <f aca="false">IF(OR(J127="",P127="",P127=0),"",J127/P127+IF(OR(N127="",K127=""),0,IFERROR(N127/INDEX(Parts!$E$6:$E$45,MATCH(K127,Parts!$A$6:$A$45,0)),0)))</f>
        <v/>
      </c>
      <c r="R127" s="24" t="str">
        <f aca="false">IF(B127="","",IF(J127="",0,J127*IFERROR(INDEX(Parts!$F$6:$F$45,MATCH(F127,Parts!$A$6:$A$45,0)),0))+IF(N127="",0,N127*IFERROR(INDEX(Parts!$F$6:$F$45,MATCH(K127,Parts!$A$6:$A$45,0)),0)))</f>
        <v/>
      </c>
      <c r="S127" s="19"/>
      <c r="T127" s="19"/>
      <c r="U127" s="18" t="str">
        <f aca="false">IF(B127="","",IF(F127="",Settings!$B$9,IFERROR(INDEX(Parts!$H$6:$H$45,MATCH(F127,Parts!$A$6:$A$45,0))+0,Settings!$B$9)))</f>
        <v/>
      </c>
      <c r="V127" s="22" t="str">
        <f aca="false">IF(B127="","",IF(INDEX($E$7:$E$336,ROW()-6+Settings!$B$7)&lt;&gt;"",INDEX($E$7:$E$336,ROW()-6+Settings!$B$7),E127+Settings!$B$7*D127/1440))</f>
        <v/>
      </c>
      <c r="W127" s="22" t="str">
        <f aca="false">IF(B127="","",IF(INDEX($E$7:$E$336,ROW()-6+Settings!$B$7+Settings!$B$8)&lt;&gt;"",INDEX($E$7:$E$336,ROW()-6+Settings!$B$7+Settings!$B$8),E127+(Settings!$B$7+Settings!$B$8)*D127/1440)+U127/1440)</f>
        <v/>
      </c>
      <c r="X127" s="18" t="str">
        <f aca="false">IF(B127="","",IF(INDEX($E$7:$E$336,ROW()-6+Settings!$B$7+Settings!$B$8)&lt;&gt;"","line","estimate"))</f>
        <v/>
      </c>
      <c r="Y127" s="25" t="str">
        <f aca="false">IF(B127="","",INT(W127-Settings!$B$6))</f>
        <v/>
      </c>
      <c r="Z127" s="19"/>
      <c r="AA127" s="18" t="str">
        <f aca="false">IF(B127="","",IF(AND(B127&lt;&gt;"Empty",F127=""),"part missing; ","")&amp;IF(AND(F127&lt;&gt;"",J127=""),"pieces missing; ","")&amp;IF(AND(F127&lt;&gt;"",O127=""),"part not on the Parts sheet; ","")&amp;IF(AND(B127="Empty",OR(F127&lt;&gt;"",K127&lt;&gt;"")),"empty tray with parts; ","")&amp;IF(AND(B127="Loaded",K127&lt;&gt;""),"second part: type Mixed; ","")&amp;IF(AND(Q127&lt;&gt;"",N(Q127)&gt;1),"over 100 % of the spec load; ","")&amp;IF(N(R127)&gt;Settings!$B$10,"over the tray maximum (kg); ","")&amp;IF(AND(K127&lt;&gt;"",IFERROR(INDEX(Parts!$C$6:$C$45,MATCH(K127,Parts!$A$6:$A$45,0)),O127)&lt;&gt;O127),"different processes in one tray; ","")&amp;IF(AND(S127&lt;&gt;"",T127=""),"rework reason missing; ",""))</f>
        <v/>
      </c>
    </row>
    <row r="128" customFormat="false" ht="15" hidden="false" customHeight="false" outlineLevel="0" collapsed="false">
      <c r="A128" s="18" t="str">
        <f aca="false">IF(B128="","",COUNTA(B$7:B128))</f>
        <v/>
      </c>
      <c r="B128" s="19"/>
      <c r="C128" s="20"/>
      <c r="D128" s="19" t="str">
        <f aca="false">IF(B128="","",IF(D127="",Report!$B$12,D127))</f>
        <v/>
      </c>
      <c r="E128" s="22" t="str">
        <f aca="false">IF(B128="","",IF(C128&lt;&gt;"",C128,E127+D127/1440+SUMIFS(Holds!$F$7:$F$46,Holds!$B$7:$B$46,"&gt;="&amp;E127,Holds!$B$7:$B$46,"&lt;"&amp;E127+D127/1440)/1440))</f>
        <v/>
      </c>
      <c r="F128" s="19"/>
      <c r="G128" s="19"/>
      <c r="H128" s="19"/>
      <c r="I128" s="19"/>
      <c r="J128" s="19"/>
      <c r="K128" s="19"/>
      <c r="L128" s="19"/>
      <c r="M128" s="19"/>
      <c r="N128" s="19"/>
      <c r="O128" s="18" t="str">
        <f aca="false">IF(F128="","",IFERROR(INDEX(Parts!$C$6:$C$45,MATCH(F128,Parts!$A$6:$A$45,0)),""))</f>
        <v/>
      </c>
      <c r="P128" s="18" t="str">
        <f aca="false">IF(F128="","",IFERROR(INDEX(Parts!$E$6:$E$45,MATCH(F128,Parts!$A$6:$A$45,0)),""))</f>
        <v/>
      </c>
      <c r="Q128" s="23" t="str">
        <f aca="false">IF(OR(J128="",P128="",P128=0),"",J128/P128+IF(OR(N128="",K128=""),0,IFERROR(N128/INDEX(Parts!$E$6:$E$45,MATCH(K128,Parts!$A$6:$A$45,0)),0)))</f>
        <v/>
      </c>
      <c r="R128" s="24" t="str">
        <f aca="false">IF(B128="","",IF(J128="",0,J128*IFERROR(INDEX(Parts!$F$6:$F$45,MATCH(F128,Parts!$A$6:$A$45,0)),0))+IF(N128="",0,N128*IFERROR(INDEX(Parts!$F$6:$F$45,MATCH(K128,Parts!$A$6:$A$45,0)),0)))</f>
        <v/>
      </c>
      <c r="S128" s="19"/>
      <c r="T128" s="19"/>
      <c r="U128" s="18" t="str">
        <f aca="false">IF(B128="","",IF(F128="",Settings!$B$9,IFERROR(INDEX(Parts!$H$6:$H$45,MATCH(F128,Parts!$A$6:$A$45,0))+0,Settings!$B$9)))</f>
        <v/>
      </c>
      <c r="V128" s="22" t="str">
        <f aca="false">IF(B128="","",IF(INDEX($E$7:$E$336,ROW()-6+Settings!$B$7)&lt;&gt;"",INDEX($E$7:$E$336,ROW()-6+Settings!$B$7),E128+Settings!$B$7*D128/1440))</f>
        <v/>
      </c>
      <c r="W128" s="22" t="str">
        <f aca="false">IF(B128="","",IF(INDEX($E$7:$E$336,ROW()-6+Settings!$B$7+Settings!$B$8)&lt;&gt;"",INDEX($E$7:$E$336,ROW()-6+Settings!$B$7+Settings!$B$8),E128+(Settings!$B$7+Settings!$B$8)*D128/1440)+U128/1440)</f>
        <v/>
      </c>
      <c r="X128" s="18" t="str">
        <f aca="false">IF(B128="","",IF(INDEX($E$7:$E$336,ROW()-6+Settings!$B$7+Settings!$B$8)&lt;&gt;"","line","estimate"))</f>
        <v/>
      </c>
      <c r="Y128" s="25" t="str">
        <f aca="false">IF(B128="","",INT(W128-Settings!$B$6))</f>
        <v/>
      </c>
      <c r="Z128" s="19"/>
      <c r="AA128" s="18" t="str">
        <f aca="false">IF(B128="","",IF(AND(B128&lt;&gt;"Empty",F128=""),"part missing; ","")&amp;IF(AND(F128&lt;&gt;"",J128=""),"pieces missing; ","")&amp;IF(AND(F128&lt;&gt;"",O128=""),"part not on the Parts sheet; ","")&amp;IF(AND(B128="Empty",OR(F128&lt;&gt;"",K128&lt;&gt;"")),"empty tray with parts; ","")&amp;IF(AND(B128="Loaded",K128&lt;&gt;""),"second part: type Mixed; ","")&amp;IF(AND(Q128&lt;&gt;"",N(Q128)&gt;1),"over 100 % of the spec load; ","")&amp;IF(N(R128)&gt;Settings!$B$10,"over the tray maximum (kg); ","")&amp;IF(AND(K128&lt;&gt;"",IFERROR(INDEX(Parts!$C$6:$C$45,MATCH(K128,Parts!$A$6:$A$45,0)),O128)&lt;&gt;O128),"different processes in one tray; ","")&amp;IF(AND(S128&lt;&gt;"",T128=""),"rework reason missing; ",""))</f>
        <v/>
      </c>
    </row>
    <row r="129" customFormat="false" ht="15" hidden="false" customHeight="false" outlineLevel="0" collapsed="false">
      <c r="A129" s="18" t="str">
        <f aca="false">IF(B129="","",COUNTA(B$7:B129))</f>
        <v/>
      </c>
      <c r="B129" s="19"/>
      <c r="C129" s="20"/>
      <c r="D129" s="19" t="str">
        <f aca="false">IF(B129="","",IF(D128="",Report!$B$12,D128))</f>
        <v/>
      </c>
      <c r="E129" s="22" t="str">
        <f aca="false">IF(B129="","",IF(C129&lt;&gt;"",C129,E128+D128/1440+SUMIFS(Holds!$F$7:$F$46,Holds!$B$7:$B$46,"&gt;="&amp;E128,Holds!$B$7:$B$46,"&lt;"&amp;E128+D128/1440)/1440))</f>
        <v/>
      </c>
      <c r="F129" s="19"/>
      <c r="G129" s="19"/>
      <c r="H129" s="19"/>
      <c r="I129" s="19"/>
      <c r="J129" s="19"/>
      <c r="K129" s="19"/>
      <c r="L129" s="19"/>
      <c r="M129" s="19"/>
      <c r="N129" s="19"/>
      <c r="O129" s="18" t="str">
        <f aca="false">IF(F129="","",IFERROR(INDEX(Parts!$C$6:$C$45,MATCH(F129,Parts!$A$6:$A$45,0)),""))</f>
        <v/>
      </c>
      <c r="P129" s="18" t="str">
        <f aca="false">IF(F129="","",IFERROR(INDEX(Parts!$E$6:$E$45,MATCH(F129,Parts!$A$6:$A$45,0)),""))</f>
        <v/>
      </c>
      <c r="Q129" s="23" t="str">
        <f aca="false">IF(OR(J129="",P129="",P129=0),"",J129/P129+IF(OR(N129="",K129=""),0,IFERROR(N129/INDEX(Parts!$E$6:$E$45,MATCH(K129,Parts!$A$6:$A$45,0)),0)))</f>
        <v/>
      </c>
      <c r="R129" s="24" t="str">
        <f aca="false">IF(B129="","",IF(J129="",0,J129*IFERROR(INDEX(Parts!$F$6:$F$45,MATCH(F129,Parts!$A$6:$A$45,0)),0))+IF(N129="",0,N129*IFERROR(INDEX(Parts!$F$6:$F$45,MATCH(K129,Parts!$A$6:$A$45,0)),0)))</f>
        <v/>
      </c>
      <c r="S129" s="19"/>
      <c r="T129" s="19"/>
      <c r="U129" s="18" t="str">
        <f aca="false">IF(B129="","",IF(F129="",Settings!$B$9,IFERROR(INDEX(Parts!$H$6:$H$45,MATCH(F129,Parts!$A$6:$A$45,0))+0,Settings!$B$9)))</f>
        <v/>
      </c>
      <c r="V129" s="22" t="str">
        <f aca="false">IF(B129="","",IF(INDEX($E$7:$E$336,ROW()-6+Settings!$B$7)&lt;&gt;"",INDEX($E$7:$E$336,ROW()-6+Settings!$B$7),E129+Settings!$B$7*D129/1440))</f>
        <v/>
      </c>
      <c r="W129" s="22" t="str">
        <f aca="false">IF(B129="","",IF(INDEX($E$7:$E$336,ROW()-6+Settings!$B$7+Settings!$B$8)&lt;&gt;"",INDEX($E$7:$E$336,ROW()-6+Settings!$B$7+Settings!$B$8),E129+(Settings!$B$7+Settings!$B$8)*D129/1440)+U129/1440)</f>
        <v/>
      </c>
      <c r="X129" s="18" t="str">
        <f aca="false">IF(B129="","",IF(INDEX($E$7:$E$336,ROW()-6+Settings!$B$7+Settings!$B$8)&lt;&gt;"","line","estimate"))</f>
        <v/>
      </c>
      <c r="Y129" s="25" t="str">
        <f aca="false">IF(B129="","",INT(W129-Settings!$B$6))</f>
        <v/>
      </c>
      <c r="Z129" s="19"/>
      <c r="AA129" s="18" t="str">
        <f aca="false">IF(B129="","",IF(AND(B129&lt;&gt;"Empty",F129=""),"part missing; ","")&amp;IF(AND(F129&lt;&gt;"",J129=""),"pieces missing; ","")&amp;IF(AND(F129&lt;&gt;"",O129=""),"part not on the Parts sheet; ","")&amp;IF(AND(B129="Empty",OR(F129&lt;&gt;"",K129&lt;&gt;"")),"empty tray with parts; ","")&amp;IF(AND(B129="Loaded",K129&lt;&gt;""),"second part: type Mixed; ","")&amp;IF(AND(Q129&lt;&gt;"",N(Q129)&gt;1),"over 100 % of the spec load; ","")&amp;IF(N(R129)&gt;Settings!$B$10,"over the tray maximum (kg); ","")&amp;IF(AND(K129&lt;&gt;"",IFERROR(INDEX(Parts!$C$6:$C$45,MATCH(K129,Parts!$A$6:$A$45,0)),O129)&lt;&gt;O129),"different processes in one tray; ","")&amp;IF(AND(S129&lt;&gt;"",T129=""),"rework reason missing; ",""))</f>
        <v/>
      </c>
    </row>
    <row r="130" customFormat="false" ht="15" hidden="false" customHeight="false" outlineLevel="0" collapsed="false">
      <c r="A130" s="18" t="str">
        <f aca="false">IF(B130="","",COUNTA(B$7:B130))</f>
        <v/>
      </c>
      <c r="B130" s="19"/>
      <c r="C130" s="20"/>
      <c r="D130" s="19" t="str">
        <f aca="false">IF(B130="","",IF(D129="",Report!$B$12,D129))</f>
        <v/>
      </c>
      <c r="E130" s="22" t="str">
        <f aca="false">IF(B130="","",IF(C130&lt;&gt;"",C130,E129+D129/1440+SUMIFS(Holds!$F$7:$F$46,Holds!$B$7:$B$46,"&gt;="&amp;E129,Holds!$B$7:$B$46,"&lt;"&amp;E129+D129/1440)/1440))</f>
        <v/>
      </c>
      <c r="F130" s="19"/>
      <c r="G130" s="19"/>
      <c r="H130" s="19"/>
      <c r="I130" s="19"/>
      <c r="J130" s="19"/>
      <c r="K130" s="19"/>
      <c r="L130" s="19"/>
      <c r="M130" s="19"/>
      <c r="N130" s="19"/>
      <c r="O130" s="18" t="str">
        <f aca="false">IF(F130="","",IFERROR(INDEX(Parts!$C$6:$C$45,MATCH(F130,Parts!$A$6:$A$45,0)),""))</f>
        <v/>
      </c>
      <c r="P130" s="18" t="str">
        <f aca="false">IF(F130="","",IFERROR(INDEX(Parts!$E$6:$E$45,MATCH(F130,Parts!$A$6:$A$45,0)),""))</f>
        <v/>
      </c>
      <c r="Q130" s="23" t="str">
        <f aca="false">IF(OR(J130="",P130="",P130=0),"",J130/P130+IF(OR(N130="",K130=""),0,IFERROR(N130/INDEX(Parts!$E$6:$E$45,MATCH(K130,Parts!$A$6:$A$45,0)),0)))</f>
        <v/>
      </c>
      <c r="R130" s="24" t="str">
        <f aca="false">IF(B130="","",IF(J130="",0,J130*IFERROR(INDEX(Parts!$F$6:$F$45,MATCH(F130,Parts!$A$6:$A$45,0)),0))+IF(N130="",0,N130*IFERROR(INDEX(Parts!$F$6:$F$45,MATCH(K130,Parts!$A$6:$A$45,0)),0)))</f>
        <v/>
      </c>
      <c r="S130" s="19"/>
      <c r="T130" s="19"/>
      <c r="U130" s="18" t="str">
        <f aca="false">IF(B130="","",IF(F130="",Settings!$B$9,IFERROR(INDEX(Parts!$H$6:$H$45,MATCH(F130,Parts!$A$6:$A$45,0))+0,Settings!$B$9)))</f>
        <v/>
      </c>
      <c r="V130" s="22" t="str">
        <f aca="false">IF(B130="","",IF(INDEX($E$7:$E$336,ROW()-6+Settings!$B$7)&lt;&gt;"",INDEX($E$7:$E$336,ROW()-6+Settings!$B$7),E130+Settings!$B$7*D130/1440))</f>
        <v/>
      </c>
      <c r="W130" s="22" t="str">
        <f aca="false">IF(B130="","",IF(INDEX($E$7:$E$336,ROW()-6+Settings!$B$7+Settings!$B$8)&lt;&gt;"",INDEX($E$7:$E$336,ROW()-6+Settings!$B$7+Settings!$B$8),E130+(Settings!$B$7+Settings!$B$8)*D130/1440)+U130/1440)</f>
        <v/>
      </c>
      <c r="X130" s="18" t="str">
        <f aca="false">IF(B130="","",IF(INDEX($E$7:$E$336,ROW()-6+Settings!$B$7+Settings!$B$8)&lt;&gt;"","line","estimate"))</f>
        <v/>
      </c>
      <c r="Y130" s="25" t="str">
        <f aca="false">IF(B130="","",INT(W130-Settings!$B$6))</f>
        <v/>
      </c>
      <c r="Z130" s="19"/>
      <c r="AA130" s="18" t="str">
        <f aca="false">IF(B130="","",IF(AND(B130&lt;&gt;"Empty",F130=""),"part missing; ","")&amp;IF(AND(F130&lt;&gt;"",J130=""),"pieces missing; ","")&amp;IF(AND(F130&lt;&gt;"",O130=""),"part not on the Parts sheet; ","")&amp;IF(AND(B130="Empty",OR(F130&lt;&gt;"",K130&lt;&gt;"")),"empty tray with parts; ","")&amp;IF(AND(B130="Loaded",K130&lt;&gt;""),"second part: type Mixed; ","")&amp;IF(AND(Q130&lt;&gt;"",N(Q130)&gt;1),"over 100 % of the spec load; ","")&amp;IF(N(R130)&gt;Settings!$B$10,"over the tray maximum (kg); ","")&amp;IF(AND(K130&lt;&gt;"",IFERROR(INDEX(Parts!$C$6:$C$45,MATCH(K130,Parts!$A$6:$A$45,0)),O130)&lt;&gt;O130),"different processes in one tray; ","")&amp;IF(AND(S130&lt;&gt;"",T130=""),"rework reason missing; ",""))</f>
        <v/>
      </c>
    </row>
    <row r="131" customFormat="false" ht="15" hidden="false" customHeight="false" outlineLevel="0" collapsed="false">
      <c r="A131" s="18" t="str">
        <f aca="false">IF(B131="","",COUNTA(B$7:B131))</f>
        <v/>
      </c>
      <c r="B131" s="19"/>
      <c r="C131" s="20"/>
      <c r="D131" s="19" t="str">
        <f aca="false">IF(B131="","",IF(D130="",Report!$B$12,D130))</f>
        <v/>
      </c>
      <c r="E131" s="22" t="str">
        <f aca="false">IF(B131="","",IF(C131&lt;&gt;"",C131,E130+D130/1440+SUMIFS(Holds!$F$7:$F$46,Holds!$B$7:$B$46,"&gt;="&amp;E130,Holds!$B$7:$B$46,"&lt;"&amp;E130+D130/1440)/1440))</f>
        <v/>
      </c>
      <c r="F131" s="19"/>
      <c r="G131" s="19"/>
      <c r="H131" s="19"/>
      <c r="I131" s="19"/>
      <c r="J131" s="19"/>
      <c r="K131" s="19"/>
      <c r="L131" s="19"/>
      <c r="M131" s="19"/>
      <c r="N131" s="19"/>
      <c r="O131" s="18" t="str">
        <f aca="false">IF(F131="","",IFERROR(INDEX(Parts!$C$6:$C$45,MATCH(F131,Parts!$A$6:$A$45,0)),""))</f>
        <v/>
      </c>
      <c r="P131" s="18" t="str">
        <f aca="false">IF(F131="","",IFERROR(INDEX(Parts!$E$6:$E$45,MATCH(F131,Parts!$A$6:$A$45,0)),""))</f>
        <v/>
      </c>
      <c r="Q131" s="23" t="str">
        <f aca="false">IF(OR(J131="",P131="",P131=0),"",J131/P131+IF(OR(N131="",K131=""),0,IFERROR(N131/INDEX(Parts!$E$6:$E$45,MATCH(K131,Parts!$A$6:$A$45,0)),0)))</f>
        <v/>
      </c>
      <c r="R131" s="24" t="str">
        <f aca="false">IF(B131="","",IF(J131="",0,J131*IFERROR(INDEX(Parts!$F$6:$F$45,MATCH(F131,Parts!$A$6:$A$45,0)),0))+IF(N131="",0,N131*IFERROR(INDEX(Parts!$F$6:$F$45,MATCH(K131,Parts!$A$6:$A$45,0)),0)))</f>
        <v/>
      </c>
      <c r="S131" s="19"/>
      <c r="T131" s="19"/>
      <c r="U131" s="18" t="str">
        <f aca="false">IF(B131="","",IF(F131="",Settings!$B$9,IFERROR(INDEX(Parts!$H$6:$H$45,MATCH(F131,Parts!$A$6:$A$45,0))+0,Settings!$B$9)))</f>
        <v/>
      </c>
      <c r="V131" s="22" t="str">
        <f aca="false">IF(B131="","",IF(INDEX($E$7:$E$336,ROW()-6+Settings!$B$7)&lt;&gt;"",INDEX($E$7:$E$336,ROW()-6+Settings!$B$7),E131+Settings!$B$7*D131/1440))</f>
        <v/>
      </c>
      <c r="W131" s="22" t="str">
        <f aca="false">IF(B131="","",IF(INDEX($E$7:$E$336,ROW()-6+Settings!$B$7+Settings!$B$8)&lt;&gt;"",INDEX($E$7:$E$336,ROW()-6+Settings!$B$7+Settings!$B$8),E131+(Settings!$B$7+Settings!$B$8)*D131/1440)+U131/1440)</f>
        <v/>
      </c>
      <c r="X131" s="18" t="str">
        <f aca="false">IF(B131="","",IF(INDEX($E$7:$E$336,ROW()-6+Settings!$B$7+Settings!$B$8)&lt;&gt;"","line","estimate"))</f>
        <v/>
      </c>
      <c r="Y131" s="25" t="str">
        <f aca="false">IF(B131="","",INT(W131-Settings!$B$6))</f>
        <v/>
      </c>
      <c r="Z131" s="19"/>
      <c r="AA131" s="18" t="str">
        <f aca="false">IF(B131="","",IF(AND(B131&lt;&gt;"Empty",F131=""),"part missing; ","")&amp;IF(AND(F131&lt;&gt;"",J131=""),"pieces missing; ","")&amp;IF(AND(F131&lt;&gt;"",O131=""),"part not on the Parts sheet; ","")&amp;IF(AND(B131="Empty",OR(F131&lt;&gt;"",K131&lt;&gt;"")),"empty tray with parts; ","")&amp;IF(AND(B131="Loaded",K131&lt;&gt;""),"second part: type Mixed; ","")&amp;IF(AND(Q131&lt;&gt;"",N(Q131)&gt;1),"over 100 % of the spec load; ","")&amp;IF(N(R131)&gt;Settings!$B$10,"over the tray maximum (kg); ","")&amp;IF(AND(K131&lt;&gt;"",IFERROR(INDEX(Parts!$C$6:$C$45,MATCH(K131,Parts!$A$6:$A$45,0)),O131)&lt;&gt;O131),"different processes in one tray; ","")&amp;IF(AND(S131&lt;&gt;"",T131=""),"rework reason missing; ",""))</f>
        <v/>
      </c>
    </row>
    <row r="132" customFormat="false" ht="15" hidden="false" customHeight="false" outlineLevel="0" collapsed="false">
      <c r="A132" s="18" t="str">
        <f aca="false">IF(B132="","",COUNTA(B$7:B132))</f>
        <v/>
      </c>
      <c r="B132" s="19"/>
      <c r="C132" s="20"/>
      <c r="D132" s="19" t="str">
        <f aca="false">IF(B132="","",IF(D131="",Report!$B$12,D131))</f>
        <v/>
      </c>
      <c r="E132" s="22" t="str">
        <f aca="false">IF(B132="","",IF(C132&lt;&gt;"",C132,E131+D131/1440+SUMIFS(Holds!$F$7:$F$46,Holds!$B$7:$B$46,"&gt;="&amp;E131,Holds!$B$7:$B$46,"&lt;"&amp;E131+D131/1440)/1440))</f>
        <v/>
      </c>
      <c r="F132" s="19"/>
      <c r="G132" s="19"/>
      <c r="H132" s="19"/>
      <c r="I132" s="19"/>
      <c r="J132" s="19"/>
      <c r="K132" s="19"/>
      <c r="L132" s="19"/>
      <c r="M132" s="19"/>
      <c r="N132" s="19"/>
      <c r="O132" s="18" t="str">
        <f aca="false">IF(F132="","",IFERROR(INDEX(Parts!$C$6:$C$45,MATCH(F132,Parts!$A$6:$A$45,0)),""))</f>
        <v/>
      </c>
      <c r="P132" s="18" t="str">
        <f aca="false">IF(F132="","",IFERROR(INDEX(Parts!$E$6:$E$45,MATCH(F132,Parts!$A$6:$A$45,0)),""))</f>
        <v/>
      </c>
      <c r="Q132" s="23" t="str">
        <f aca="false">IF(OR(J132="",P132="",P132=0),"",J132/P132+IF(OR(N132="",K132=""),0,IFERROR(N132/INDEX(Parts!$E$6:$E$45,MATCH(K132,Parts!$A$6:$A$45,0)),0)))</f>
        <v/>
      </c>
      <c r="R132" s="24" t="str">
        <f aca="false">IF(B132="","",IF(J132="",0,J132*IFERROR(INDEX(Parts!$F$6:$F$45,MATCH(F132,Parts!$A$6:$A$45,0)),0))+IF(N132="",0,N132*IFERROR(INDEX(Parts!$F$6:$F$45,MATCH(K132,Parts!$A$6:$A$45,0)),0)))</f>
        <v/>
      </c>
      <c r="S132" s="19"/>
      <c r="T132" s="19"/>
      <c r="U132" s="18" t="str">
        <f aca="false">IF(B132="","",IF(F132="",Settings!$B$9,IFERROR(INDEX(Parts!$H$6:$H$45,MATCH(F132,Parts!$A$6:$A$45,0))+0,Settings!$B$9)))</f>
        <v/>
      </c>
      <c r="V132" s="22" t="str">
        <f aca="false">IF(B132="","",IF(INDEX($E$7:$E$336,ROW()-6+Settings!$B$7)&lt;&gt;"",INDEX($E$7:$E$336,ROW()-6+Settings!$B$7),E132+Settings!$B$7*D132/1440))</f>
        <v/>
      </c>
      <c r="W132" s="22" t="str">
        <f aca="false">IF(B132="","",IF(INDEX($E$7:$E$336,ROW()-6+Settings!$B$7+Settings!$B$8)&lt;&gt;"",INDEX($E$7:$E$336,ROW()-6+Settings!$B$7+Settings!$B$8),E132+(Settings!$B$7+Settings!$B$8)*D132/1440)+U132/1440)</f>
        <v/>
      </c>
      <c r="X132" s="18" t="str">
        <f aca="false">IF(B132="","",IF(INDEX($E$7:$E$336,ROW()-6+Settings!$B$7+Settings!$B$8)&lt;&gt;"","line","estimate"))</f>
        <v/>
      </c>
      <c r="Y132" s="25" t="str">
        <f aca="false">IF(B132="","",INT(W132-Settings!$B$6))</f>
        <v/>
      </c>
      <c r="Z132" s="19"/>
      <c r="AA132" s="18" t="str">
        <f aca="false">IF(B132="","",IF(AND(B132&lt;&gt;"Empty",F132=""),"part missing; ","")&amp;IF(AND(F132&lt;&gt;"",J132=""),"pieces missing; ","")&amp;IF(AND(F132&lt;&gt;"",O132=""),"part not on the Parts sheet; ","")&amp;IF(AND(B132="Empty",OR(F132&lt;&gt;"",K132&lt;&gt;"")),"empty tray with parts; ","")&amp;IF(AND(B132="Loaded",K132&lt;&gt;""),"second part: type Mixed; ","")&amp;IF(AND(Q132&lt;&gt;"",N(Q132)&gt;1),"over 100 % of the spec load; ","")&amp;IF(N(R132)&gt;Settings!$B$10,"over the tray maximum (kg); ","")&amp;IF(AND(K132&lt;&gt;"",IFERROR(INDEX(Parts!$C$6:$C$45,MATCH(K132,Parts!$A$6:$A$45,0)),O132)&lt;&gt;O132),"different processes in one tray; ","")&amp;IF(AND(S132&lt;&gt;"",T132=""),"rework reason missing; ",""))</f>
        <v/>
      </c>
    </row>
    <row r="133" customFormat="false" ht="15" hidden="false" customHeight="false" outlineLevel="0" collapsed="false">
      <c r="A133" s="18" t="str">
        <f aca="false">IF(B133="","",COUNTA(B$7:B133))</f>
        <v/>
      </c>
      <c r="B133" s="19"/>
      <c r="C133" s="20"/>
      <c r="D133" s="19" t="str">
        <f aca="false">IF(B133="","",IF(D132="",Report!$B$12,D132))</f>
        <v/>
      </c>
      <c r="E133" s="22" t="str">
        <f aca="false">IF(B133="","",IF(C133&lt;&gt;"",C133,E132+D132/1440+SUMIFS(Holds!$F$7:$F$46,Holds!$B$7:$B$46,"&gt;="&amp;E132,Holds!$B$7:$B$46,"&lt;"&amp;E132+D132/1440)/1440))</f>
        <v/>
      </c>
      <c r="F133" s="19"/>
      <c r="G133" s="19"/>
      <c r="H133" s="19"/>
      <c r="I133" s="19"/>
      <c r="J133" s="19"/>
      <c r="K133" s="19"/>
      <c r="L133" s="19"/>
      <c r="M133" s="19"/>
      <c r="N133" s="19"/>
      <c r="O133" s="18" t="str">
        <f aca="false">IF(F133="","",IFERROR(INDEX(Parts!$C$6:$C$45,MATCH(F133,Parts!$A$6:$A$45,0)),""))</f>
        <v/>
      </c>
      <c r="P133" s="18" t="str">
        <f aca="false">IF(F133="","",IFERROR(INDEX(Parts!$E$6:$E$45,MATCH(F133,Parts!$A$6:$A$45,0)),""))</f>
        <v/>
      </c>
      <c r="Q133" s="23" t="str">
        <f aca="false">IF(OR(J133="",P133="",P133=0),"",J133/P133+IF(OR(N133="",K133=""),0,IFERROR(N133/INDEX(Parts!$E$6:$E$45,MATCH(K133,Parts!$A$6:$A$45,0)),0)))</f>
        <v/>
      </c>
      <c r="R133" s="24" t="str">
        <f aca="false">IF(B133="","",IF(J133="",0,J133*IFERROR(INDEX(Parts!$F$6:$F$45,MATCH(F133,Parts!$A$6:$A$45,0)),0))+IF(N133="",0,N133*IFERROR(INDEX(Parts!$F$6:$F$45,MATCH(K133,Parts!$A$6:$A$45,0)),0)))</f>
        <v/>
      </c>
      <c r="S133" s="19"/>
      <c r="T133" s="19"/>
      <c r="U133" s="18" t="str">
        <f aca="false">IF(B133="","",IF(F133="",Settings!$B$9,IFERROR(INDEX(Parts!$H$6:$H$45,MATCH(F133,Parts!$A$6:$A$45,0))+0,Settings!$B$9)))</f>
        <v/>
      </c>
      <c r="V133" s="22" t="str">
        <f aca="false">IF(B133="","",IF(INDEX($E$7:$E$336,ROW()-6+Settings!$B$7)&lt;&gt;"",INDEX($E$7:$E$336,ROW()-6+Settings!$B$7),E133+Settings!$B$7*D133/1440))</f>
        <v/>
      </c>
      <c r="W133" s="22" t="str">
        <f aca="false">IF(B133="","",IF(INDEX($E$7:$E$336,ROW()-6+Settings!$B$7+Settings!$B$8)&lt;&gt;"",INDEX($E$7:$E$336,ROW()-6+Settings!$B$7+Settings!$B$8),E133+(Settings!$B$7+Settings!$B$8)*D133/1440)+U133/1440)</f>
        <v/>
      </c>
      <c r="X133" s="18" t="str">
        <f aca="false">IF(B133="","",IF(INDEX($E$7:$E$336,ROW()-6+Settings!$B$7+Settings!$B$8)&lt;&gt;"","line","estimate"))</f>
        <v/>
      </c>
      <c r="Y133" s="25" t="str">
        <f aca="false">IF(B133="","",INT(W133-Settings!$B$6))</f>
        <v/>
      </c>
      <c r="Z133" s="19"/>
      <c r="AA133" s="18" t="str">
        <f aca="false">IF(B133="","",IF(AND(B133&lt;&gt;"Empty",F133=""),"part missing; ","")&amp;IF(AND(F133&lt;&gt;"",J133=""),"pieces missing; ","")&amp;IF(AND(F133&lt;&gt;"",O133=""),"part not on the Parts sheet; ","")&amp;IF(AND(B133="Empty",OR(F133&lt;&gt;"",K133&lt;&gt;"")),"empty tray with parts; ","")&amp;IF(AND(B133="Loaded",K133&lt;&gt;""),"second part: type Mixed; ","")&amp;IF(AND(Q133&lt;&gt;"",N(Q133)&gt;1),"over 100 % of the spec load; ","")&amp;IF(N(R133)&gt;Settings!$B$10,"over the tray maximum (kg); ","")&amp;IF(AND(K133&lt;&gt;"",IFERROR(INDEX(Parts!$C$6:$C$45,MATCH(K133,Parts!$A$6:$A$45,0)),O133)&lt;&gt;O133),"different processes in one tray; ","")&amp;IF(AND(S133&lt;&gt;"",T133=""),"rework reason missing; ",""))</f>
        <v/>
      </c>
    </row>
    <row r="134" customFormat="false" ht="15" hidden="false" customHeight="false" outlineLevel="0" collapsed="false">
      <c r="A134" s="18" t="str">
        <f aca="false">IF(B134="","",COUNTA(B$7:B134))</f>
        <v/>
      </c>
      <c r="B134" s="19"/>
      <c r="C134" s="20"/>
      <c r="D134" s="19" t="str">
        <f aca="false">IF(B134="","",IF(D133="",Report!$B$12,D133))</f>
        <v/>
      </c>
      <c r="E134" s="22" t="str">
        <f aca="false">IF(B134="","",IF(C134&lt;&gt;"",C134,E133+D133/1440+SUMIFS(Holds!$F$7:$F$46,Holds!$B$7:$B$46,"&gt;="&amp;E133,Holds!$B$7:$B$46,"&lt;"&amp;E133+D133/1440)/1440))</f>
        <v/>
      </c>
      <c r="F134" s="19"/>
      <c r="G134" s="19"/>
      <c r="H134" s="19"/>
      <c r="I134" s="19"/>
      <c r="J134" s="19"/>
      <c r="K134" s="19"/>
      <c r="L134" s="19"/>
      <c r="M134" s="19"/>
      <c r="N134" s="19"/>
      <c r="O134" s="18" t="str">
        <f aca="false">IF(F134="","",IFERROR(INDEX(Parts!$C$6:$C$45,MATCH(F134,Parts!$A$6:$A$45,0)),""))</f>
        <v/>
      </c>
      <c r="P134" s="18" t="str">
        <f aca="false">IF(F134="","",IFERROR(INDEX(Parts!$E$6:$E$45,MATCH(F134,Parts!$A$6:$A$45,0)),""))</f>
        <v/>
      </c>
      <c r="Q134" s="23" t="str">
        <f aca="false">IF(OR(J134="",P134="",P134=0),"",J134/P134+IF(OR(N134="",K134=""),0,IFERROR(N134/INDEX(Parts!$E$6:$E$45,MATCH(K134,Parts!$A$6:$A$45,0)),0)))</f>
        <v/>
      </c>
      <c r="R134" s="24" t="str">
        <f aca="false">IF(B134="","",IF(J134="",0,J134*IFERROR(INDEX(Parts!$F$6:$F$45,MATCH(F134,Parts!$A$6:$A$45,0)),0))+IF(N134="",0,N134*IFERROR(INDEX(Parts!$F$6:$F$45,MATCH(K134,Parts!$A$6:$A$45,0)),0)))</f>
        <v/>
      </c>
      <c r="S134" s="19"/>
      <c r="T134" s="19"/>
      <c r="U134" s="18" t="str">
        <f aca="false">IF(B134="","",IF(F134="",Settings!$B$9,IFERROR(INDEX(Parts!$H$6:$H$45,MATCH(F134,Parts!$A$6:$A$45,0))+0,Settings!$B$9)))</f>
        <v/>
      </c>
      <c r="V134" s="22" t="str">
        <f aca="false">IF(B134="","",IF(INDEX($E$7:$E$336,ROW()-6+Settings!$B$7)&lt;&gt;"",INDEX($E$7:$E$336,ROW()-6+Settings!$B$7),E134+Settings!$B$7*D134/1440))</f>
        <v/>
      </c>
      <c r="W134" s="22" t="str">
        <f aca="false">IF(B134="","",IF(INDEX($E$7:$E$336,ROW()-6+Settings!$B$7+Settings!$B$8)&lt;&gt;"",INDEX($E$7:$E$336,ROW()-6+Settings!$B$7+Settings!$B$8),E134+(Settings!$B$7+Settings!$B$8)*D134/1440)+U134/1440)</f>
        <v/>
      </c>
      <c r="X134" s="18" t="str">
        <f aca="false">IF(B134="","",IF(INDEX($E$7:$E$336,ROW()-6+Settings!$B$7+Settings!$B$8)&lt;&gt;"","line","estimate"))</f>
        <v/>
      </c>
      <c r="Y134" s="25" t="str">
        <f aca="false">IF(B134="","",INT(W134-Settings!$B$6))</f>
        <v/>
      </c>
      <c r="Z134" s="19"/>
      <c r="AA134" s="18" t="str">
        <f aca="false">IF(B134="","",IF(AND(B134&lt;&gt;"Empty",F134=""),"part missing; ","")&amp;IF(AND(F134&lt;&gt;"",J134=""),"pieces missing; ","")&amp;IF(AND(F134&lt;&gt;"",O134=""),"part not on the Parts sheet; ","")&amp;IF(AND(B134="Empty",OR(F134&lt;&gt;"",K134&lt;&gt;"")),"empty tray with parts; ","")&amp;IF(AND(B134="Loaded",K134&lt;&gt;""),"second part: type Mixed; ","")&amp;IF(AND(Q134&lt;&gt;"",N(Q134)&gt;1),"over 100 % of the spec load; ","")&amp;IF(N(R134)&gt;Settings!$B$10,"over the tray maximum (kg); ","")&amp;IF(AND(K134&lt;&gt;"",IFERROR(INDEX(Parts!$C$6:$C$45,MATCH(K134,Parts!$A$6:$A$45,0)),O134)&lt;&gt;O134),"different processes in one tray; ","")&amp;IF(AND(S134&lt;&gt;"",T134=""),"rework reason missing; ",""))</f>
        <v/>
      </c>
    </row>
    <row r="135" customFormat="false" ht="15" hidden="false" customHeight="false" outlineLevel="0" collapsed="false">
      <c r="A135" s="18" t="str">
        <f aca="false">IF(B135="","",COUNTA(B$7:B135))</f>
        <v/>
      </c>
      <c r="B135" s="19"/>
      <c r="C135" s="20"/>
      <c r="D135" s="19" t="str">
        <f aca="false">IF(B135="","",IF(D134="",Report!$B$12,D134))</f>
        <v/>
      </c>
      <c r="E135" s="22" t="str">
        <f aca="false">IF(B135="","",IF(C135&lt;&gt;"",C135,E134+D134/1440+SUMIFS(Holds!$F$7:$F$46,Holds!$B$7:$B$46,"&gt;="&amp;E134,Holds!$B$7:$B$46,"&lt;"&amp;E134+D134/1440)/1440))</f>
        <v/>
      </c>
      <c r="F135" s="19"/>
      <c r="G135" s="19"/>
      <c r="H135" s="19"/>
      <c r="I135" s="19"/>
      <c r="J135" s="19"/>
      <c r="K135" s="19"/>
      <c r="L135" s="19"/>
      <c r="M135" s="19"/>
      <c r="N135" s="19"/>
      <c r="O135" s="18" t="str">
        <f aca="false">IF(F135="","",IFERROR(INDEX(Parts!$C$6:$C$45,MATCH(F135,Parts!$A$6:$A$45,0)),""))</f>
        <v/>
      </c>
      <c r="P135" s="18" t="str">
        <f aca="false">IF(F135="","",IFERROR(INDEX(Parts!$E$6:$E$45,MATCH(F135,Parts!$A$6:$A$45,0)),""))</f>
        <v/>
      </c>
      <c r="Q135" s="23" t="str">
        <f aca="false">IF(OR(J135="",P135="",P135=0),"",J135/P135+IF(OR(N135="",K135=""),0,IFERROR(N135/INDEX(Parts!$E$6:$E$45,MATCH(K135,Parts!$A$6:$A$45,0)),0)))</f>
        <v/>
      </c>
      <c r="R135" s="24" t="str">
        <f aca="false">IF(B135="","",IF(J135="",0,J135*IFERROR(INDEX(Parts!$F$6:$F$45,MATCH(F135,Parts!$A$6:$A$45,0)),0))+IF(N135="",0,N135*IFERROR(INDEX(Parts!$F$6:$F$45,MATCH(K135,Parts!$A$6:$A$45,0)),0)))</f>
        <v/>
      </c>
      <c r="S135" s="19"/>
      <c r="T135" s="19"/>
      <c r="U135" s="18" t="str">
        <f aca="false">IF(B135="","",IF(F135="",Settings!$B$9,IFERROR(INDEX(Parts!$H$6:$H$45,MATCH(F135,Parts!$A$6:$A$45,0))+0,Settings!$B$9)))</f>
        <v/>
      </c>
      <c r="V135" s="22" t="str">
        <f aca="false">IF(B135="","",IF(INDEX($E$7:$E$336,ROW()-6+Settings!$B$7)&lt;&gt;"",INDEX($E$7:$E$336,ROW()-6+Settings!$B$7),E135+Settings!$B$7*D135/1440))</f>
        <v/>
      </c>
      <c r="W135" s="22" t="str">
        <f aca="false">IF(B135="","",IF(INDEX($E$7:$E$336,ROW()-6+Settings!$B$7+Settings!$B$8)&lt;&gt;"",INDEX($E$7:$E$336,ROW()-6+Settings!$B$7+Settings!$B$8),E135+(Settings!$B$7+Settings!$B$8)*D135/1440)+U135/1440)</f>
        <v/>
      </c>
      <c r="X135" s="18" t="str">
        <f aca="false">IF(B135="","",IF(INDEX($E$7:$E$336,ROW()-6+Settings!$B$7+Settings!$B$8)&lt;&gt;"","line","estimate"))</f>
        <v/>
      </c>
      <c r="Y135" s="25" t="str">
        <f aca="false">IF(B135="","",INT(W135-Settings!$B$6))</f>
        <v/>
      </c>
      <c r="Z135" s="19"/>
      <c r="AA135" s="18" t="str">
        <f aca="false">IF(B135="","",IF(AND(B135&lt;&gt;"Empty",F135=""),"part missing; ","")&amp;IF(AND(F135&lt;&gt;"",J135=""),"pieces missing; ","")&amp;IF(AND(F135&lt;&gt;"",O135=""),"part not on the Parts sheet; ","")&amp;IF(AND(B135="Empty",OR(F135&lt;&gt;"",K135&lt;&gt;"")),"empty tray with parts; ","")&amp;IF(AND(B135="Loaded",K135&lt;&gt;""),"second part: type Mixed; ","")&amp;IF(AND(Q135&lt;&gt;"",N(Q135)&gt;1),"over 100 % of the spec load; ","")&amp;IF(N(R135)&gt;Settings!$B$10,"over the tray maximum (kg); ","")&amp;IF(AND(K135&lt;&gt;"",IFERROR(INDEX(Parts!$C$6:$C$45,MATCH(K135,Parts!$A$6:$A$45,0)),O135)&lt;&gt;O135),"different processes in one tray; ","")&amp;IF(AND(S135&lt;&gt;"",T135=""),"rework reason missing; ",""))</f>
        <v/>
      </c>
    </row>
    <row r="136" customFormat="false" ht="15" hidden="false" customHeight="false" outlineLevel="0" collapsed="false">
      <c r="A136" s="18" t="str">
        <f aca="false">IF(B136="","",COUNTA(B$7:B136))</f>
        <v/>
      </c>
      <c r="B136" s="19"/>
      <c r="C136" s="20"/>
      <c r="D136" s="19" t="str">
        <f aca="false">IF(B136="","",IF(D135="",Report!$B$12,D135))</f>
        <v/>
      </c>
      <c r="E136" s="22" t="str">
        <f aca="false">IF(B136="","",IF(C136&lt;&gt;"",C136,E135+D135/1440+SUMIFS(Holds!$F$7:$F$46,Holds!$B$7:$B$46,"&gt;="&amp;E135,Holds!$B$7:$B$46,"&lt;"&amp;E135+D135/1440)/1440))</f>
        <v/>
      </c>
      <c r="F136" s="19"/>
      <c r="G136" s="19"/>
      <c r="H136" s="19"/>
      <c r="I136" s="19"/>
      <c r="J136" s="19"/>
      <c r="K136" s="19"/>
      <c r="L136" s="19"/>
      <c r="M136" s="19"/>
      <c r="N136" s="19"/>
      <c r="O136" s="18" t="str">
        <f aca="false">IF(F136="","",IFERROR(INDEX(Parts!$C$6:$C$45,MATCH(F136,Parts!$A$6:$A$45,0)),""))</f>
        <v/>
      </c>
      <c r="P136" s="18" t="str">
        <f aca="false">IF(F136="","",IFERROR(INDEX(Parts!$E$6:$E$45,MATCH(F136,Parts!$A$6:$A$45,0)),""))</f>
        <v/>
      </c>
      <c r="Q136" s="23" t="str">
        <f aca="false">IF(OR(J136="",P136="",P136=0),"",J136/P136+IF(OR(N136="",K136=""),0,IFERROR(N136/INDEX(Parts!$E$6:$E$45,MATCH(K136,Parts!$A$6:$A$45,0)),0)))</f>
        <v/>
      </c>
      <c r="R136" s="24" t="str">
        <f aca="false">IF(B136="","",IF(J136="",0,J136*IFERROR(INDEX(Parts!$F$6:$F$45,MATCH(F136,Parts!$A$6:$A$45,0)),0))+IF(N136="",0,N136*IFERROR(INDEX(Parts!$F$6:$F$45,MATCH(K136,Parts!$A$6:$A$45,0)),0)))</f>
        <v/>
      </c>
      <c r="S136" s="19"/>
      <c r="T136" s="19"/>
      <c r="U136" s="18" t="str">
        <f aca="false">IF(B136="","",IF(F136="",Settings!$B$9,IFERROR(INDEX(Parts!$H$6:$H$45,MATCH(F136,Parts!$A$6:$A$45,0))+0,Settings!$B$9)))</f>
        <v/>
      </c>
      <c r="V136" s="22" t="str">
        <f aca="false">IF(B136="","",IF(INDEX($E$7:$E$336,ROW()-6+Settings!$B$7)&lt;&gt;"",INDEX($E$7:$E$336,ROW()-6+Settings!$B$7),E136+Settings!$B$7*D136/1440))</f>
        <v/>
      </c>
      <c r="W136" s="22" t="str">
        <f aca="false">IF(B136="","",IF(INDEX($E$7:$E$336,ROW()-6+Settings!$B$7+Settings!$B$8)&lt;&gt;"",INDEX($E$7:$E$336,ROW()-6+Settings!$B$7+Settings!$B$8),E136+(Settings!$B$7+Settings!$B$8)*D136/1440)+U136/1440)</f>
        <v/>
      </c>
      <c r="X136" s="18" t="str">
        <f aca="false">IF(B136="","",IF(INDEX($E$7:$E$336,ROW()-6+Settings!$B$7+Settings!$B$8)&lt;&gt;"","line","estimate"))</f>
        <v/>
      </c>
      <c r="Y136" s="25" t="str">
        <f aca="false">IF(B136="","",INT(W136-Settings!$B$6))</f>
        <v/>
      </c>
      <c r="Z136" s="19"/>
      <c r="AA136" s="18" t="str">
        <f aca="false">IF(B136="","",IF(AND(B136&lt;&gt;"Empty",F136=""),"part missing; ","")&amp;IF(AND(F136&lt;&gt;"",J136=""),"pieces missing; ","")&amp;IF(AND(F136&lt;&gt;"",O136=""),"part not on the Parts sheet; ","")&amp;IF(AND(B136="Empty",OR(F136&lt;&gt;"",K136&lt;&gt;"")),"empty tray with parts; ","")&amp;IF(AND(B136="Loaded",K136&lt;&gt;""),"second part: type Mixed; ","")&amp;IF(AND(Q136&lt;&gt;"",N(Q136)&gt;1),"over 100 % of the spec load; ","")&amp;IF(N(R136)&gt;Settings!$B$10,"over the tray maximum (kg); ","")&amp;IF(AND(K136&lt;&gt;"",IFERROR(INDEX(Parts!$C$6:$C$45,MATCH(K136,Parts!$A$6:$A$45,0)),O136)&lt;&gt;O136),"different processes in one tray; ","")&amp;IF(AND(S136&lt;&gt;"",T136=""),"rework reason missing; ",""))</f>
        <v/>
      </c>
    </row>
    <row r="137" customFormat="false" ht="15" hidden="false" customHeight="false" outlineLevel="0" collapsed="false">
      <c r="A137" s="18" t="str">
        <f aca="false">IF(B137="","",COUNTA(B$7:B137))</f>
        <v/>
      </c>
      <c r="B137" s="19"/>
      <c r="C137" s="20"/>
      <c r="D137" s="19" t="str">
        <f aca="false">IF(B137="","",IF(D136="",Report!$B$12,D136))</f>
        <v/>
      </c>
      <c r="E137" s="22" t="str">
        <f aca="false">IF(B137="","",IF(C137&lt;&gt;"",C137,E136+D136/1440+SUMIFS(Holds!$F$7:$F$46,Holds!$B$7:$B$46,"&gt;="&amp;E136,Holds!$B$7:$B$46,"&lt;"&amp;E136+D136/1440)/1440))</f>
        <v/>
      </c>
      <c r="F137" s="19"/>
      <c r="G137" s="19"/>
      <c r="H137" s="19"/>
      <c r="I137" s="19"/>
      <c r="J137" s="19"/>
      <c r="K137" s="19"/>
      <c r="L137" s="19"/>
      <c r="M137" s="19"/>
      <c r="N137" s="19"/>
      <c r="O137" s="18" t="str">
        <f aca="false">IF(F137="","",IFERROR(INDEX(Parts!$C$6:$C$45,MATCH(F137,Parts!$A$6:$A$45,0)),""))</f>
        <v/>
      </c>
      <c r="P137" s="18" t="str">
        <f aca="false">IF(F137="","",IFERROR(INDEX(Parts!$E$6:$E$45,MATCH(F137,Parts!$A$6:$A$45,0)),""))</f>
        <v/>
      </c>
      <c r="Q137" s="23" t="str">
        <f aca="false">IF(OR(J137="",P137="",P137=0),"",J137/P137+IF(OR(N137="",K137=""),0,IFERROR(N137/INDEX(Parts!$E$6:$E$45,MATCH(K137,Parts!$A$6:$A$45,0)),0)))</f>
        <v/>
      </c>
      <c r="R137" s="24" t="str">
        <f aca="false">IF(B137="","",IF(J137="",0,J137*IFERROR(INDEX(Parts!$F$6:$F$45,MATCH(F137,Parts!$A$6:$A$45,0)),0))+IF(N137="",0,N137*IFERROR(INDEX(Parts!$F$6:$F$45,MATCH(K137,Parts!$A$6:$A$45,0)),0)))</f>
        <v/>
      </c>
      <c r="S137" s="19"/>
      <c r="T137" s="19"/>
      <c r="U137" s="18" t="str">
        <f aca="false">IF(B137="","",IF(F137="",Settings!$B$9,IFERROR(INDEX(Parts!$H$6:$H$45,MATCH(F137,Parts!$A$6:$A$45,0))+0,Settings!$B$9)))</f>
        <v/>
      </c>
      <c r="V137" s="22" t="str">
        <f aca="false">IF(B137="","",IF(INDEX($E$7:$E$336,ROW()-6+Settings!$B$7)&lt;&gt;"",INDEX($E$7:$E$336,ROW()-6+Settings!$B$7),E137+Settings!$B$7*D137/1440))</f>
        <v/>
      </c>
      <c r="W137" s="22" t="str">
        <f aca="false">IF(B137="","",IF(INDEX($E$7:$E$336,ROW()-6+Settings!$B$7+Settings!$B$8)&lt;&gt;"",INDEX($E$7:$E$336,ROW()-6+Settings!$B$7+Settings!$B$8),E137+(Settings!$B$7+Settings!$B$8)*D137/1440)+U137/1440)</f>
        <v/>
      </c>
      <c r="X137" s="18" t="str">
        <f aca="false">IF(B137="","",IF(INDEX($E$7:$E$336,ROW()-6+Settings!$B$7+Settings!$B$8)&lt;&gt;"","line","estimate"))</f>
        <v/>
      </c>
      <c r="Y137" s="25" t="str">
        <f aca="false">IF(B137="","",INT(W137-Settings!$B$6))</f>
        <v/>
      </c>
      <c r="Z137" s="19"/>
      <c r="AA137" s="18" t="str">
        <f aca="false">IF(B137="","",IF(AND(B137&lt;&gt;"Empty",F137=""),"part missing; ","")&amp;IF(AND(F137&lt;&gt;"",J137=""),"pieces missing; ","")&amp;IF(AND(F137&lt;&gt;"",O137=""),"part not on the Parts sheet; ","")&amp;IF(AND(B137="Empty",OR(F137&lt;&gt;"",K137&lt;&gt;"")),"empty tray with parts; ","")&amp;IF(AND(B137="Loaded",K137&lt;&gt;""),"second part: type Mixed; ","")&amp;IF(AND(Q137&lt;&gt;"",N(Q137)&gt;1),"over 100 % of the spec load; ","")&amp;IF(N(R137)&gt;Settings!$B$10,"over the tray maximum (kg); ","")&amp;IF(AND(K137&lt;&gt;"",IFERROR(INDEX(Parts!$C$6:$C$45,MATCH(K137,Parts!$A$6:$A$45,0)),O137)&lt;&gt;O137),"different processes in one tray; ","")&amp;IF(AND(S137&lt;&gt;"",T137=""),"rework reason missing; ",""))</f>
        <v/>
      </c>
    </row>
    <row r="138" customFormat="false" ht="15" hidden="false" customHeight="false" outlineLevel="0" collapsed="false">
      <c r="A138" s="18" t="str">
        <f aca="false">IF(B138="","",COUNTA(B$7:B138))</f>
        <v/>
      </c>
      <c r="B138" s="19"/>
      <c r="C138" s="20"/>
      <c r="D138" s="19" t="str">
        <f aca="false">IF(B138="","",IF(D137="",Report!$B$12,D137))</f>
        <v/>
      </c>
      <c r="E138" s="22" t="str">
        <f aca="false">IF(B138="","",IF(C138&lt;&gt;"",C138,E137+D137/1440+SUMIFS(Holds!$F$7:$F$46,Holds!$B$7:$B$46,"&gt;="&amp;E137,Holds!$B$7:$B$46,"&lt;"&amp;E137+D137/1440)/1440))</f>
        <v/>
      </c>
      <c r="F138" s="19"/>
      <c r="G138" s="19"/>
      <c r="H138" s="19"/>
      <c r="I138" s="19"/>
      <c r="J138" s="19"/>
      <c r="K138" s="19"/>
      <c r="L138" s="19"/>
      <c r="M138" s="19"/>
      <c r="N138" s="19"/>
      <c r="O138" s="18" t="str">
        <f aca="false">IF(F138="","",IFERROR(INDEX(Parts!$C$6:$C$45,MATCH(F138,Parts!$A$6:$A$45,0)),""))</f>
        <v/>
      </c>
      <c r="P138" s="18" t="str">
        <f aca="false">IF(F138="","",IFERROR(INDEX(Parts!$E$6:$E$45,MATCH(F138,Parts!$A$6:$A$45,0)),""))</f>
        <v/>
      </c>
      <c r="Q138" s="23" t="str">
        <f aca="false">IF(OR(J138="",P138="",P138=0),"",J138/P138+IF(OR(N138="",K138=""),0,IFERROR(N138/INDEX(Parts!$E$6:$E$45,MATCH(K138,Parts!$A$6:$A$45,0)),0)))</f>
        <v/>
      </c>
      <c r="R138" s="24" t="str">
        <f aca="false">IF(B138="","",IF(J138="",0,J138*IFERROR(INDEX(Parts!$F$6:$F$45,MATCH(F138,Parts!$A$6:$A$45,0)),0))+IF(N138="",0,N138*IFERROR(INDEX(Parts!$F$6:$F$45,MATCH(K138,Parts!$A$6:$A$45,0)),0)))</f>
        <v/>
      </c>
      <c r="S138" s="19"/>
      <c r="T138" s="19"/>
      <c r="U138" s="18" t="str">
        <f aca="false">IF(B138="","",IF(F138="",Settings!$B$9,IFERROR(INDEX(Parts!$H$6:$H$45,MATCH(F138,Parts!$A$6:$A$45,0))+0,Settings!$B$9)))</f>
        <v/>
      </c>
      <c r="V138" s="22" t="str">
        <f aca="false">IF(B138="","",IF(INDEX($E$7:$E$336,ROW()-6+Settings!$B$7)&lt;&gt;"",INDEX($E$7:$E$336,ROW()-6+Settings!$B$7),E138+Settings!$B$7*D138/1440))</f>
        <v/>
      </c>
      <c r="W138" s="22" t="str">
        <f aca="false">IF(B138="","",IF(INDEX($E$7:$E$336,ROW()-6+Settings!$B$7+Settings!$B$8)&lt;&gt;"",INDEX($E$7:$E$336,ROW()-6+Settings!$B$7+Settings!$B$8),E138+(Settings!$B$7+Settings!$B$8)*D138/1440)+U138/1440)</f>
        <v/>
      </c>
      <c r="X138" s="18" t="str">
        <f aca="false">IF(B138="","",IF(INDEX($E$7:$E$336,ROW()-6+Settings!$B$7+Settings!$B$8)&lt;&gt;"","line","estimate"))</f>
        <v/>
      </c>
      <c r="Y138" s="25" t="str">
        <f aca="false">IF(B138="","",INT(W138-Settings!$B$6))</f>
        <v/>
      </c>
      <c r="Z138" s="19"/>
      <c r="AA138" s="18" t="str">
        <f aca="false">IF(B138="","",IF(AND(B138&lt;&gt;"Empty",F138=""),"part missing; ","")&amp;IF(AND(F138&lt;&gt;"",J138=""),"pieces missing; ","")&amp;IF(AND(F138&lt;&gt;"",O138=""),"part not on the Parts sheet; ","")&amp;IF(AND(B138="Empty",OR(F138&lt;&gt;"",K138&lt;&gt;"")),"empty tray with parts; ","")&amp;IF(AND(B138="Loaded",K138&lt;&gt;""),"second part: type Mixed; ","")&amp;IF(AND(Q138&lt;&gt;"",N(Q138)&gt;1),"over 100 % of the spec load; ","")&amp;IF(N(R138)&gt;Settings!$B$10,"over the tray maximum (kg); ","")&amp;IF(AND(K138&lt;&gt;"",IFERROR(INDEX(Parts!$C$6:$C$45,MATCH(K138,Parts!$A$6:$A$45,0)),O138)&lt;&gt;O138),"different processes in one tray; ","")&amp;IF(AND(S138&lt;&gt;"",T138=""),"rework reason missing; ",""))</f>
        <v/>
      </c>
    </row>
    <row r="139" customFormat="false" ht="15" hidden="false" customHeight="false" outlineLevel="0" collapsed="false">
      <c r="A139" s="18" t="str">
        <f aca="false">IF(B139="","",COUNTA(B$7:B139))</f>
        <v/>
      </c>
      <c r="B139" s="19"/>
      <c r="C139" s="20"/>
      <c r="D139" s="19" t="str">
        <f aca="false">IF(B139="","",IF(D138="",Report!$B$12,D138))</f>
        <v/>
      </c>
      <c r="E139" s="22" t="str">
        <f aca="false">IF(B139="","",IF(C139&lt;&gt;"",C139,E138+D138/1440+SUMIFS(Holds!$F$7:$F$46,Holds!$B$7:$B$46,"&gt;="&amp;E138,Holds!$B$7:$B$46,"&lt;"&amp;E138+D138/1440)/1440))</f>
        <v/>
      </c>
      <c r="F139" s="19"/>
      <c r="G139" s="19"/>
      <c r="H139" s="19"/>
      <c r="I139" s="19"/>
      <c r="J139" s="19"/>
      <c r="K139" s="19"/>
      <c r="L139" s="19"/>
      <c r="M139" s="19"/>
      <c r="N139" s="19"/>
      <c r="O139" s="18" t="str">
        <f aca="false">IF(F139="","",IFERROR(INDEX(Parts!$C$6:$C$45,MATCH(F139,Parts!$A$6:$A$45,0)),""))</f>
        <v/>
      </c>
      <c r="P139" s="18" t="str">
        <f aca="false">IF(F139="","",IFERROR(INDEX(Parts!$E$6:$E$45,MATCH(F139,Parts!$A$6:$A$45,0)),""))</f>
        <v/>
      </c>
      <c r="Q139" s="23" t="str">
        <f aca="false">IF(OR(J139="",P139="",P139=0),"",J139/P139+IF(OR(N139="",K139=""),0,IFERROR(N139/INDEX(Parts!$E$6:$E$45,MATCH(K139,Parts!$A$6:$A$45,0)),0)))</f>
        <v/>
      </c>
      <c r="R139" s="24" t="str">
        <f aca="false">IF(B139="","",IF(J139="",0,J139*IFERROR(INDEX(Parts!$F$6:$F$45,MATCH(F139,Parts!$A$6:$A$45,0)),0))+IF(N139="",0,N139*IFERROR(INDEX(Parts!$F$6:$F$45,MATCH(K139,Parts!$A$6:$A$45,0)),0)))</f>
        <v/>
      </c>
      <c r="S139" s="19"/>
      <c r="T139" s="19"/>
      <c r="U139" s="18" t="str">
        <f aca="false">IF(B139="","",IF(F139="",Settings!$B$9,IFERROR(INDEX(Parts!$H$6:$H$45,MATCH(F139,Parts!$A$6:$A$45,0))+0,Settings!$B$9)))</f>
        <v/>
      </c>
      <c r="V139" s="22" t="str">
        <f aca="false">IF(B139="","",IF(INDEX($E$7:$E$336,ROW()-6+Settings!$B$7)&lt;&gt;"",INDEX($E$7:$E$336,ROW()-6+Settings!$B$7),E139+Settings!$B$7*D139/1440))</f>
        <v/>
      </c>
      <c r="W139" s="22" t="str">
        <f aca="false">IF(B139="","",IF(INDEX($E$7:$E$336,ROW()-6+Settings!$B$7+Settings!$B$8)&lt;&gt;"",INDEX($E$7:$E$336,ROW()-6+Settings!$B$7+Settings!$B$8),E139+(Settings!$B$7+Settings!$B$8)*D139/1440)+U139/1440)</f>
        <v/>
      </c>
      <c r="X139" s="18" t="str">
        <f aca="false">IF(B139="","",IF(INDEX($E$7:$E$336,ROW()-6+Settings!$B$7+Settings!$B$8)&lt;&gt;"","line","estimate"))</f>
        <v/>
      </c>
      <c r="Y139" s="25" t="str">
        <f aca="false">IF(B139="","",INT(W139-Settings!$B$6))</f>
        <v/>
      </c>
      <c r="Z139" s="19"/>
      <c r="AA139" s="18" t="str">
        <f aca="false">IF(B139="","",IF(AND(B139&lt;&gt;"Empty",F139=""),"part missing; ","")&amp;IF(AND(F139&lt;&gt;"",J139=""),"pieces missing; ","")&amp;IF(AND(F139&lt;&gt;"",O139=""),"part not on the Parts sheet; ","")&amp;IF(AND(B139="Empty",OR(F139&lt;&gt;"",K139&lt;&gt;"")),"empty tray with parts; ","")&amp;IF(AND(B139="Loaded",K139&lt;&gt;""),"second part: type Mixed; ","")&amp;IF(AND(Q139&lt;&gt;"",N(Q139)&gt;1),"over 100 % of the spec load; ","")&amp;IF(N(R139)&gt;Settings!$B$10,"over the tray maximum (kg); ","")&amp;IF(AND(K139&lt;&gt;"",IFERROR(INDEX(Parts!$C$6:$C$45,MATCH(K139,Parts!$A$6:$A$45,0)),O139)&lt;&gt;O139),"different processes in one tray; ","")&amp;IF(AND(S139&lt;&gt;"",T139=""),"rework reason missing; ",""))</f>
        <v/>
      </c>
    </row>
    <row r="140" customFormat="false" ht="15" hidden="false" customHeight="false" outlineLevel="0" collapsed="false">
      <c r="A140" s="18" t="str">
        <f aca="false">IF(B140="","",COUNTA(B$7:B140))</f>
        <v/>
      </c>
      <c r="B140" s="19"/>
      <c r="C140" s="20"/>
      <c r="D140" s="19" t="str">
        <f aca="false">IF(B140="","",IF(D139="",Report!$B$12,D139))</f>
        <v/>
      </c>
      <c r="E140" s="22" t="str">
        <f aca="false">IF(B140="","",IF(C140&lt;&gt;"",C140,E139+D139/1440+SUMIFS(Holds!$F$7:$F$46,Holds!$B$7:$B$46,"&gt;="&amp;E139,Holds!$B$7:$B$46,"&lt;"&amp;E139+D139/1440)/1440))</f>
        <v/>
      </c>
      <c r="F140" s="19"/>
      <c r="G140" s="19"/>
      <c r="H140" s="19"/>
      <c r="I140" s="19"/>
      <c r="J140" s="19"/>
      <c r="K140" s="19"/>
      <c r="L140" s="19"/>
      <c r="M140" s="19"/>
      <c r="N140" s="19"/>
      <c r="O140" s="18" t="str">
        <f aca="false">IF(F140="","",IFERROR(INDEX(Parts!$C$6:$C$45,MATCH(F140,Parts!$A$6:$A$45,0)),""))</f>
        <v/>
      </c>
      <c r="P140" s="18" t="str">
        <f aca="false">IF(F140="","",IFERROR(INDEX(Parts!$E$6:$E$45,MATCH(F140,Parts!$A$6:$A$45,0)),""))</f>
        <v/>
      </c>
      <c r="Q140" s="23" t="str">
        <f aca="false">IF(OR(J140="",P140="",P140=0),"",J140/P140+IF(OR(N140="",K140=""),0,IFERROR(N140/INDEX(Parts!$E$6:$E$45,MATCH(K140,Parts!$A$6:$A$45,0)),0)))</f>
        <v/>
      </c>
      <c r="R140" s="24" t="str">
        <f aca="false">IF(B140="","",IF(J140="",0,J140*IFERROR(INDEX(Parts!$F$6:$F$45,MATCH(F140,Parts!$A$6:$A$45,0)),0))+IF(N140="",0,N140*IFERROR(INDEX(Parts!$F$6:$F$45,MATCH(K140,Parts!$A$6:$A$45,0)),0)))</f>
        <v/>
      </c>
      <c r="S140" s="19"/>
      <c r="T140" s="19"/>
      <c r="U140" s="18" t="str">
        <f aca="false">IF(B140="","",IF(F140="",Settings!$B$9,IFERROR(INDEX(Parts!$H$6:$H$45,MATCH(F140,Parts!$A$6:$A$45,0))+0,Settings!$B$9)))</f>
        <v/>
      </c>
      <c r="V140" s="22" t="str">
        <f aca="false">IF(B140="","",IF(INDEX($E$7:$E$336,ROW()-6+Settings!$B$7)&lt;&gt;"",INDEX($E$7:$E$336,ROW()-6+Settings!$B$7),E140+Settings!$B$7*D140/1440))</f>
        <v/>
      </c>
      <c r="W140" s="22" t="str">
        <f aca="false">IF(B140="","",IF(INDEX($E$7:$E$336,ROW()-6+Settings!$B$7+Settings!$B$8)&lt;&gt;"",INDEX($E$7:$E$336,ROW()-6+Settings!$B$7+Settings!$B$8),E140+(Settings!$B$7+Settings!$B$8)*D140/1440)+U140/1440)</f>
        <v/>
      </c>
      <c r="X140" s="18" t="str">
        <f aca="false">IF(B140="","",IF(INDEX($E$7:$E$336,ROW()-6+Settings!$B$7+Settings!$B$8)&lt;&gt;"","line","estimate"))</f>
        <v/>
      </c>
      <c r="Y140" s="25" t="str">
        <f aca="false">IF(B140="","",INT(W140-Settings!$B$6))</f>
        <v/>
      </c>
      <c r="Z140" s="19"/>
      <c r="AA140" s="18" t="str">
        <f aca="false">IF(B140="","",IF(AND(B140&lt;&gt;"Empty",F140=""),"part missing; ","")&amp;IF(AND(F140&lt;&gt;"",J140=""),"pieces missing; ","")&amp;IF(AND(F140&lt;&gt;"",O140=""),"part not on the Parts sheet; ","")&amp;IF(AND(B140="Empty",OR(F140&lt;&gt;"",K140&lt;&gt;"")),"empty tray with parts; ","")&amp;IF(AND(B140="Loaded",K140&lt;&gt;""),"second part: type Mixed; ","")&amp;IF(AND(Q140&lt;&gt;"",N(Q140)&gt;1),"over 100 % of the spec load; ","")&amp;IF(N(R140)&gt;Settings!$B$10,"over the tray maximum (kg); ","")&amp;IF(AND(K140&lt;&gt;"",IFERROR(INDEX(Parts!$C$6:$C$45,MATCH(K140,Parts!$A$6:$A$45,0)),O140)&lt;&gt;O140),"different processes in one tray; ","")&amp;IF(AND(S140&lt;&gt;"",T140=""),"rework reason missing; ",""))</f>
        <v/>
      </c>
    </row>
    <row r="141" customFormat="false" ht="15" hidden="false" customHeight="false" outlineLevel="0" collapsed="false">
      <c r="A141" s="18" t="str">
        <f aca="false">IF(B141="","",COUNTA(B$7:B141))</f>
        <v/>
      </c>
      <c r="B141" s="19"/>
      <c r="C141" s="20"/>
      <c r="D141" s="19" t="str">
        <f aca="false">IF(B141="","",IF(D140="",Report!$B$12,D140))</f>
        <v/>
      </c>
      <c r="E141" s="22" t="str">
        <f aca="false">IF(B141="","",IF(C141&lt;&gt;"",C141,E140+D140/1440+SUMIFS(Holds!$F$7:$F$46,Holds!$B$7:$B$46,"&gt;="&amp;E140,Holds!$B$7:$B$46,"&lt;"&amp;E140+D140/1440)/1440))</f>
        <v/>
      </c>
      <c r="F141" s="19"/>
      <c r="G141" s="19"/>
      <c r="H141" s="19"/>
      <c r="I141" s="19"/>
      <c r="J141" s="19"/>
      <c r="K141" s="19"/>
      <c r="L141" s="19"/>
      <c r="M141" s="19"/>
      <c r="N141" s="19"/>
      <c r="O141" s="18" t="str">
        <f aca="false">IF(F141="","",IFERROR(INDEX(Parts!$C$6:$C$45,MATCH(F141,Parts!$A$6:$A$45,0)),""))</f>
        <v/>
      </c>
      <c r="P141" s="18" t="str">
        <f aca="false">IF(F141="","",IFERROR(INDEX(Parts!$E$6:$E$45,MATCH(F141,Parts!$A$6:$A$45,0)),""))</f>
        <v/>
      </c>
      <c r="Q141" s="23" t="str">
        <f aca="false">IF(OR(J141="",P141="",P141=0),"",J141/P141+IF(OR(N141="",K141=""),0,IFERROR(N141/INDEX(Parts!$E$6:$E$45,MATCH(K141,Parts!$A$6:$A$45,0)),0)))</f>
        <v/>
      </c>
      <c r="R141" s="24" t="str">
        <f aca="false">IF(B141="","",IF(J141="",0,J141*IFERROR(INDEX(Parts!$F$6:$F$45,MATCH(F141,Parts!$A$6:$A$45,0)),0))+IF(N141="",0,N141*IFERROR(INDEX(Parts!$F$6:$F$45,MATCH(K141,Parts!$A$6:$A$45,0)),0)))</f>
        <v/>
      </c>
      <c r="S141" s="19"/>
      <c r="T141" s="19"/>
      <c r="U141" s="18" t="str">
        <f aca="false">IF(B141="","",IF(F141="",Settings!$B$9,IFERROR(INDEX(Parts!$H$6:$H$45,MATCH(F141,Parts!$A$6:$A$45,0))+0,Settings!$B$9)))</f>
        <v/>
      </c>
      <c r="V141" s="22" t="str">
        <f aca="false">IF(B141="","",IF(INDEX($E$7:$E$336,ROW()-6+Settings!$B$7)&lt;&gt;"",INDEX($E$7:$E$336,ROW()-6+Settings!$B$7),E141+Settings!$B$7*D141/1440))</f>
        <v/>
      </c>
      <c r="W141" s="22" t="str">
        <f aca="false">IF(B141="","",IF(INDEX($E$7:$E$336,ROW()-6+Settings!$B$7+Settings!$B$8)&lt;&gt;"",INDEX($E$7:$E$336,ROW()-6+Settings!$B$7+Settings!$B$8),E141+(Settings!$B$7+Settings!$B$8)*D141/1440)+U141/1440)</f>
        <v/>
      </c>
      <c r="X141" s="18" t="str">
        <f aca="false">IF(B141="","",IF(INDEX($E$7:$E$336,ROW()-6+Settings!$B$7+Settings!$B$8)&lt;&gt;"","line","estimate"))</f>
        <v/>
      </c>
      <c r="Y141" s="25" t="str">
        <f aca="false">IF(B141="","",INT(W141-Settings!$B$6))</f>
        <v/>
      </c>
      <c r="Z141" s="19"/>
      <c r="AA141" s="18" t="str">
        <f aca="false">IF(B141="","",IF(AND(B141&lt;&gt;"Empty",F141=""),"part missing; ","")&amp;IF(AND(F141&lt;&gt;"",J141=""),"pieces missing; ","")&amp;IF(AND(F141&lt;&gt;"",O141=""),"part not on the Parts sheet; ","")&amp;IF(AND(B141="Empty",OR(F141&lt;&gt;"",K141&lt;&gt;"")),"empty tray with parts; ","")&amp;IF(AND(B141="Loaded",K141&lt;&gt;""),"second part: type Mixed; ","")&amp;IF(AND(Q141&lt;&gt;"",N(Q141)&gt;1),"over 100 % of the spec load; ","")&amp;IF(N(R141)&gt;Settings!$B$10,"over the tray maximum (kg); ","")&amp;IF(AND(K141&lt;&gt;"",IFERROR(INDEX(Parts!$C$6:$C$45,MATCH(K141,Parts!$A$6:$A$45,0)),O141)&lt;&gt;O141),"different processes in one tray; ","")&amp;IF(AND(S141&lt;&gt;"",T141=""),"rework reason missing; ",""))</f>
        <v/>
      </c>
    </row>
    <row r="142" customFormat="false" ht="15" hidden="false" customHeight="false" outlineLevel="0" collapsed="false">
      <c r="A142" s="18" t="str">
        <f aca="false">IF(B142="","",COUNTA(B$7:B142))</f>
        <v/>
      </c>
      <c r="B142" s="19"/>
      <c r="C142" s="20"/>
      <c r="D142" s="19" t="str">
        <f aca="false">IF(B142="","",IF(D141="",Report!$B$12,D141))</f>
        <v/>
      </c>
      <c r="E142" s="22" t="str">
        <f aca="false">IF(B142="","",IF(C142&lt;&gt;"",C142,E141+D141/1440+SUMIFS(Holds!$F$7:$F$46,Holds!$B$7:$B$46,"&gt;="&amp;E141,Holds!$B$7:$B$46,"&lt;"&amp;E141+D141/1440)/1440))</f>
        <v/>
      </c>
      <c r="F142" s="19"/>
      <c r="G142" s="19"/>
      <c r="H142" s="19"/>
      <c r="I142" s="19"/>
      <c r="J142" s="19"/>
      <c r="K142" s="19"/>
      <c r="L142" s="19"/>
      <c r="M142" s="19"/>
      <c r="N142" s="19"/>
      <c r="O142" s="18" t="str">
        <f aca="false">IF(F142="","",IFERROR(INDEX(Parts!$C$6:$C$45,MATCH(F142,Parts!$A$6:$A$45,0)),""))</f>
        <v/>
      </c>
      <c r="P142" s="18" t="str">
        <f aca="false">IF(F142="","",IFERROR(INDEX(Parts!$E$6:$E$45,MATCH(F142,Parts!$A$6:$A$45,0)),""))</f>
        <v/>
      </c>
      <c r="Q142" s="23" t="str">
        <f aca="false">IF(OR(J142="",P142="",P142=0),"",J142/P142+IF(OR(N142="",K142=""),0,IFERROR(N142/INDEX(Parts!$E$6:$E$45,MATCH(K142,Parts!$A$6:$A$45,0)),0)))</f>
        <v/>
      </c>
      <c r="R142" s="24" t="str">
        <f aca="false">IF(B142="","",IF(J142="",0,J142*IFERROR(INDEX(Parts!$F$6:$F$45,MATCH(F142,Parts!$A$6:$A$45,0)),0))+IF(N142="",0,N142*IFERROR(INDEX(Parts!$F$6:$F$45,MATCH(K142,Parts!$A$6:$A$45,0)),0)))</f>
        <v/>
      </c>
      <c r="S142" s="19"/>
      <c r="T142" s="19"/>
      <c r="U142" s="18" t="str">
        <f aca="false">IF(B142="","",IF(F142="",Settings!$B$9,IFERROR(INDEX(Parts!$H$6:$H$45,MATCH(F142,Parts!$A$6:$A$45,0))+0,Settings!$B$9)))</f>
        <v/>
      </c>
      <c r="V142" s="22" t="str">
        <f aca="false">IF(B142="","",IF(INDEX($E$7:$E$336,ROW()-6+Settings!$B$7)&lt;&gt;"",INDEX($E$7:$E$336,ROW()-6+Settings!$B$7),E142+Settings!$B$7*D142/1440))</f>
        <v/>
      </c>
      <c r="W142" s="22" t="str">
        <f aca="false">IF(B142="","",IF(INDEX($E$7:$E$336,ROW()-6+Settings!$B$7+Settings!$B$8)&lt;&gt;"",INDEX($E$7:$E$336,ROW()-6+Settings!$B$7+Settings!$B$8),E142+(Settings!$B$7+Settings!$B$8)*D142/1440)+U142/1440)</f>
        <v/>
      </c>
      <c r="X142" s="18" t="str">
        <f aca="false">IF(B142="","",IF(INDEX($E$7:$E$336,ROW()-6+Settings!$B$7+Settings!$B$8)&lt;&gt;"","line","estimate"))</f>
        <v/>
      </c>
      <c r="Y142" s="25" t="str">
        <f aca="false">IF(B142="","",INT(W142-Settings!$B$6))</f>
        <v/>
      </c>
      <c r="Z142" s="19"/>
      <c r="AA142" s="18" t="str">
        <f aca="false">IF(B142="","",IF(AND(B142&lt;&gt;"Empty",F142=""),"part missing; ","")&amp;IF(AND(F142&lt;&gt;"",J142=""),"pieces missing; ","")&amp;IF(AND(F142&lt;&gt;"",O142=""),"part not on the Parts sheet; ","")&amp;IF(AND(B142="Empty",OR(F142&lt;&gt;"",K142&lt;&gt;"")),"empty tray with parts; ","")&amp;IF(AND(B142="Loaded",K142&lt;&gt;""),"second part: type Mixed; ","")&amp;IF(AND(Q142&lt;&gt;"",N(Q142)&gt;1),"over 100 % of the spec load; ","")&amp;IF(N(R142)&gt;Settings!$B$10,"over the tray maximum (kg); ","")&amp;IF(AND(K142&lt;&gt;"",IFERROR(INDEX(Parts!$C$6:$C$45,MATCH(K142,Parts!$A$6:$A$45,0)),O142)&lt;&gt;O142),"different processes in one tray; ","")&amp;IF(AND(S142&lt;&gt;"",T142=""),"rework reason missing; ",""))</f>
        <v/>
      </c>
    </row>
    <row r="143" customFormat="false" ht="15" hidden="false" customHeight="false" outlineLevel="0" collapsed="false">
      <c r="A143" s="18" t="str">
        <f aca="false">IF(B143="","",COUNTA(B$7:B143))</f>
        <v/>
      </c>
      <c r="B143" s="19"/>
      <c r="C143" s="20"/>
      <c r="D143" s="19" t="str">
        <f aca="false">IF(B143="","",IF(D142="",Report!$B$12,D142))</f>
        <v/>
      </c>
      <c r="E143" s="22" t="str">
        <f aca="false">IF(B143="","",IF(C143&lt;&gt;"",C143,E142+D142/1440+SUMIFS(Holds!$F$7:$F$46,Holds!$B$7:$B$46,"&gt;="&amp;E142,Holds!$B$7:$B$46,"&lt;"&amp;E142+D142/1440)/1440))</f>
        <v/>
      </c>
      <c r="F143" s="19"/>
      <c r="G143" s="19"/>
      <c r="H143" s="19"/>
      <c r="I143" s="19"/>
      <c r="J143" s="19"/>
      <c r="K143" s="19"/>
      <c r="L143" s="19"/>
      <c r="M143" s="19"/>
      <c r="N143" s="19"/>
      <c r="O143" s="18" t="str">
        <f aca="false">IF(F143="","",IFERROR(INDEX(Parts!$C$6:$C$45,MATCH(F143,Parts!$A$6:$A$45,0)),""))</f>
        <v/>
      </c>
      <c r="P143" s="18" t="str">
        <f aca="false">IF(F143="","",IFERROR(INDEX(Parts!$E$6:$E$45,MATCH(F143,Parts!$A$6:$A$45,0)),""))</f>
        <v/>
      </c>
      <c r="Q143" s="23" t="str">
        <f aca="false">IF(OR(J143="",P143="",P143=0),"",J143/P143+IF(OR(N143="",K143=""),0,IFERROR(N143/INDEX(Parts!$E$6:$E$45,MATCH(K143,Parts!$A$6:$A$45,0)),0)))</f>
        <v/>
      </c>
      <c r="R143" s="24" t="str">
        <f aca="false">IF(B143="","",IF(J143="",0,J143*IFERROR(INDEX(Parts!$F$6:$F$45,MATCH(F143,Parts!$A$6:$A$45,0)),0))+IF(N143="",0,N143*IFERROR(INDEX(Parts!$F$6:$F$45,MATCH(K143,Parts!$A$6:$A$45,0)),0)))</f>
        <v/>
      </c>
      <c r="S143" s="19"/>
      <c r="T143" s="19"/>
      <c r="U143" s="18" t="str">
        <f aca="false">IF(B143="","",IF(F143="",Settings!$B$9,IFERROR(INDEX(Parts!$H$6:$H$45,MATCH(F143,Parts!$A$6:$A$45,0))+0,Settings!$B$9)))</f>
        <v/>
      </c>
      <c r="V143" s="22" t="str">
        <f aca="false">IF(B143="","",IF(INDEX($E$7:$E$336,ROW()-6+Settings!$B$7)&lt;&gt;"",INDEX($E$7:$E$336,ROW()-6+Settings!$B$7),E143+Settings!$B$7*D143/1440))</f>
        <v/>
      </c>
      <c r="W143" s="22" t="str">
        <f aca="false">IF(B143="","",IF(INDEX($E$7:$E$336,ROW()-6+Settings!$B$7+Settings!$B$8)&lt;&gt;"",INDEX($E$7:$E$336,ROW()-6+Settings!$B$7+Settings!$B$8),E143+(Settings!$B$7+Settings!$B$8)*D143/1440)+U143/1440)</f>
        <v/>
      </c>
      <c r="X143" s="18" t="str">
        <f aca="false">IF(B143="","",IF(INDEX($E$7:$E$336,ROW()-6+Settings!$B$7+Settings!$B$8)&lt;&gt;"","line","estimate"))</f>
        <v/>
      </c>
      <c r="Y143" s="25" t="str">
        <f aca="false">IF(B143="","",INT(W143-Settings!$B$6))</f>
        <v/>
      </c>
      <c r="Z143" s="19"/>
      <c r="AA143" s="18" t="str">
        <f aca="false">IF(B143="","",IF(AND(B143&lt;&gt;"Empty",F143=""),"part missing; ","")&amp;IF(AND(F143&lt;&gt;"",J143=""),"pieces missing; ","")&amp;IF(AND(F143&lt;&gt;"",O143=""),"part not on the Parts sheet; ","")&amp;IF(AND(B143="Empty",OR(F143&lt;&gt;"",K143&lt;&gt;"")),"empty tray with parts; ","")&amp;IF(AND(B143="Loaded",K143&lt;&gt;""),"second part: type Mixed; ","")&amp;IF(AND(Q143&lt;&gt;"",N(Q143)&gt;1),"over 100 % of the spec load; ","")&amp;IF(N(R143)&gt;Settings!$B$10,"over the tray maximum (kg); ","")&amp;IF(AND(K143&lt;&gt;"",IFERROR(INDEX(Parts!$C$6:$C$45,MATCH(K143,Parts!$A$6:$A$45,0)),O143)&lt;&gt;O143),"different processes in one tray; ","")&amp;IF(AND(S143&lt;&gt;"",T143=""),"rework reason missing; ",""))</f>
        <v/>
      </c>
    </row>
    <row r="144" customFormat="false" ht="15" hidden="false" customHeight="false" outlineLevel="0" collapsed="false">
      <c r="A144" s="18" t="str">
        <f aca="false">IF(B144="","",COUNTA(B$7:B144))</f>
        <v/>
      </c>
      <c r="B144" s="19"/>
      <c r="C144" s="20"/>
      <c r="D144" s="19" t="str">
        <f aca="false">IF(B144="","",IF(D143="",Report!$B$12,D143))</f>
        <v/>
      </c>
      <c r="E144" s="22" t="str">
        <f aca="false">IF(B144="","",IF(C144&lt;&gt;"",C144,E143+D143/1440+SUMIFS(Holds!$F$7:$F$46,Holds!$B$7:$B$46,"&gt;="&amp;E143,Holds!$B$7:$B$46,"&lt;"&amp;E143+D143/1440)/1440))</f>
        <v/>
      </c>
      <c r="F144" s="19"/>
      <c r="G144" s="19"/>
      <c r="H144" s="19"/>
      <c r="I144" s="19"/>
      <c r="J144" s="19"/>
      <c r="K144" s="19"/>
      <c r="L144" s="19"/>
      <c r="M144" s="19"/>
      <c r="N144" s="19"/>
      <c r="O144" s="18" t="str">
        <f aca="false">IF(F144="","",IFERROR(INDEX(Parts!$C$6:$C$45,MATCH(F144,Parts!$A$6:$A$45,0)),""))</f>
        <v/>
      </c>
      <c r="P144" s="18" t="str">
        <f aca="false">IF(F144="","",IFERROR(INDEX(Parts!$E$6:$E$45,MATCH(F144,Parts!$A$6:$A$45,0)),""))</f>
        <v/>
      </c>
      <c r="Q144" s="23" t="str">
        <f aca="false">IF(OR(J144="",P144="",P144=0),"",J144/P144+IF(OR(N144="",K144=""),0,IFERROR(N144/INDEX(Parts!$E$6:$E$45,MATCH(K144,Parts!$A$6:$A$45,0)),0)))</f>
        <v/>
      </c>
      <c r="R144" s="24" t="str">
        <f aca="false">IF(B144="","",IF(J144="",0,J144*IFERROR(INDEX(Parts!$F$6:$F$45,MATCH(F144,Parts!$A$6:$A$45,0)),0))+IF(N144="",0,N144*IFERROR(INDEX(Parts!$F$6:$F$45,MATCH(K144,Parts!$A$6:$A$45,0)),0)))</f>
        <v/>
      </c>
      <c r="S144" s="19"/>
      <c r="T144" s="19"/>
      <c r="U144" s="18" t="str">
        <f aca="false">IF(B144="","",IF(F144="",Settings!$B$9,IFERROR(INDEX(Parts!$H$6:$H$45,MATCH(F144,Parts!$A$6:$A$45,0))+0,Settings!$B$9)))</f>
        <v/>
      </c>
      <c r="V144" s="22" t="str">
        <f aca="false">IF(B144="","",IF(INDEX($E$7:$E$336,ROW()-6+Settings!$B$7)&lt;&gt;"",INDEX($E$7:$E$336,ROW()-6+Settings!$B$7),E144+Settings!$B$7*D144/1440))</f>
        <v/>
      </c>
      <c r="W144" s="22" t="str">
        <f aca="false">IF(B144="","",IF(INDEX($E$7:$E$336,ROW()-6+Settings!$B$7+Settings!$B$8)&lt;&gt;"",INDEX($E$7:$E$336,ROW()-6+Settings!$B$7+Settings!$B$8),E144+(Settings!$B$7+Settings!$B$8)*D144/1440)+U144/1440)</f>
        <v/>
      </c>
      <c r="X144" s="18" t="str">
        <f aca="false">IF(B144="","",IF(INDEX($E$7:$E$336,ROW()-6+Settings!$B$7+Settings!$B$8)&lt;&gt;"","line","estimate"))</f>
        <v/>
      </c>
      <c r="Y144" s="25" t="str">
        <f aca="false">IF(B144="","",INT(W144-Settings!$B$6))</f>
        <v/>
      </c>
      <c r="Z144" s="19"/>
      <c r="AA144" s="18" t="str">
        <f aca="false">IF(B144="","",IF(AND(B144&lt;&gt;"Empty",F144=""),"part missing; ","")&amp;IF(AND(F144&lt;&gt;"",J144=""),"pieces missing; ","")&amp;IF(AND(F144&lt;&gt;"",O144=""),"part not on the Parts sheet; ","")&amp;IF(AND(B144="Empty",OR(F144&lt;&gt;"",K144&lt;&gt;"")),"empty tray with parts; ","")&amp;IF(AND(B144="Loaded",K144&lt;&gt;""),"second part: type Mixed; ","")&amp;IF(AND(Q144&lt;&gt;"",N(Q144)&gt;1),"over 100 % of the spec load; ","")&amp;IF(N(R144)&gt;Settings!$B$10,"over the tray maximum (kg); ","")&amp;IF(AND(K144&lt;&gt;"",IFERROR(INDEX(Parts!$C$6:$C$45,MATCH(K144,Parts!$A$6:$A$45,0)),O144)&lt;&gt;O144),"different processes in one tray; ","")&amp;IF(AND(S144&lt;&gt;"",T144=""),"rework reason missing; ",""))</f>
        <v/>
      </c>
    </row>
    <row r="145" customFormat="false" ht="15" hidden="false" customHeight="false" outlineLevel="0" collapsed="false">
      <c r="A145" s="18" t="str">
        <f aca="false">IF(B145="","",COUNTA(B$7:B145))</f>
        <v/>
      </c>
      <c r="B145" s="19"/>
      <c r="C145" s="20"/>
      <c r="D145" s="19" t="str">
        <f aca="false">IF(B145="","",IF(D144="",Report!$B$12,D144))</f>
        <v/>
      </c>
      <c r="E145" s="22" t="str">
        <f aca="false">IF(B145="","",IF(C145&lt;&gt;"",C145,E144+D144/1440+SUMIFS(Holds!$F$7:$F$46,Holds!$B$7:$B$46,"&gt;="&amp;E144,Holds!$B$7:$B$46,"&lt;"&amp;E144+D144/1440)/1440))</f>
        <v/>
      </c>
      <c r="F145" s="19"/>
      <c r="G145" s="19"/>
      <c r="H145" s="19"/>
      <c r="I145" s="19"/>
      <c r="J145" s="19"/>
      <c r="K145" s="19"/>
      <c r="L145" s="19"/>
      <c r="M145" s="19"/>
      <c r="N145" s="19"/>
      <c r="O145" s="18" t="str">
        <f aca="false">IF(F145="","",IFERROR(INDEX(Parts!$C$6:$C$45,MATCH(F145,Parts!$A$6:$A$45,0)),""))</f>
        <v/>
      </c>
      <c r="P145" s="18" t="str">
        <f aca="false">IF(F145="","",IFERROR(INDEX(Parts!$E$6:$E$45,MATCH(F145,Parts!$A$6:$A$45,0)),""))</f>
        <v/>
      </c>
      <c r="Q145" s="23" t="str">
        <f aca="false">IF(OR(J145="",P145="",P145=0),"",J145/P145+IF(OR(N145="",K145=""),0,IFERROR(N145/INDEX(Parts!$E$6:$E$45,MATCH(K145,Parts!$A$6:$A$45,0)),0)))</f>
        <v/>
      </c>
      <c r="R145" s="24" t="str">
        <f aca="false">IF(B145="","",IF(J145="",0,J145*IFERROR(INDEX(Parts!$F$6:$F$45,MATCH(F145,Parts!$A$6:$A$45,0)),0))+IF(N145="",0,N145*IFERROR(INDEX(Parts!$F$6:$F$45,MATCH(K145,Parts!$A$6:$A$45,0)),0)))</f>
        <v/>
      </c>
      <c r="S145" s="19"/>
      <c r="T145" s="19"/>
      <c r="U145" s="18" t="str">
        <f aca="false">IF(B145="","",IF(F145="",Settings!$B$9,IFERROR(INDEX(Parts!$H$6:$H$45,MATCH(F145,Parts!$A$6:$A$45,0))+0,Settings!$B$9)))</f>
        <v/>
      </c>
      <c r="V145" s="22" t="str">
        <f aca="false">IF(B145="","",IF(INDEX($E$7:$E$336,ROW()-6+Settings!$B$7)&lt;&gt;"",INDEX($E$7:$E$336,ROW()-6+Settings!$B$7),E145+Settings!$B$7*D145/1440))</f>
        <v/>
      </c>
      <c r="W145" s="22" t="str">
        <f aca="false">IF(B145="","",IF(INDEX($E$7:$E$336,ROW()-6+Settings!$B$7+Settings!$B$8)&lt;&gt;"",INDEX($E$7:$E$336,ROW()-6+Settings!$B$7+Settings!$B$8),E145+(Settings!$B$7+Settings!$B$8)*D145/1440)+U145/1440)</f>
        <v/>
      </c>
      <c r="X145" s="18" t="str">
        <f aca="false">IF(B145="","",IF(INDEX($E$7:$E$336,ROW()-6+Settings!$B$7+Settings!$B$8)&lt;&gt;"","line","estimate"))</f>
        <v/>
      </c>
      <c r="Y145" s="25" t="str">
        <f aca="false">IF(B145="","",INT(W145-Settings!$B$6))</f>
        <v/>
      </c>
      <c r="Z145" s="19"/>
      <c r="AA145" s="18" t="str">
        <f aca="false">IF(B145="","",IF(AND(B145&lt;&gt;"Empty",F145=""),"part missing; ","")&amp;IF(AND(F145&lt;&gt;"",J145=""),"pieces missing; ","")&amp;IF(AND(F145&lt;&gt;"",O145=""),"part not on the Parts sheet; ","")&amp;IF(AND(B145="Empty",OR(F145&lt;&gt;"",K145&lt;&gt;"")),"empty tray with parts; ","")&amp;IF(AND(B145="Loaded",K145&lt;&gt;""),"second part: type Mixed; ","")&amp;IF(AND(Q145&lt;&gt;"",N(Q145)&gt;1),"over 100 % of the spec load; ","")&amp;IF(N(R145)&gt;Settings!$B$10,"over the tray maximum (kg); ","")&amp;IF(AND(K145&lt;&gt;"",IFERROR(INDEX(Parts!$C$6:$C$45,MATCH(K145,Parts!$A$6:$A$45,0)),O145)&lt;&gt;O145),"different processes in one tray; ","")&amp;IF(AND(S145&lt;&gt;"",T145=""),"rework reason missing; ",""))</f>
        <v/>
      </c>
    </row>
    <row r="146" customFormat="false" ht="15" hidden="false" customHeight="false" outlineLevel="0" collapsed="false">
      <c r="A146" s="18" t="str">
        <f aca="false">IF(B146="","",COUNTA(B$7:B146))</f>
        <v/>
      </c>
      <c r="B146" s="19"/>
      <c r="C146" s="20"/>
      <c r="D146" s="19" t="str">
        <f aca="false">IF(B146="","",IF(D145="",Report!$B$12,D145))</f>
        <v/>
      </c>
      <c r="E146" s="22" t="str">
        <f aca="false">IF(B146="","",IF(C146&lt;&gt;"",C146,E145+D145/1440+SUMIFS(Holds!$F$7:$F$46,Holds!$B$7:$B$46,"&gt;="&amp;E145,Holds!$B$7:$B$46,"&lt;"&amp;E145+D145/1440)/1440))</f>
        <v/>
      </c>
      <c r="F146" s="19"/>
      <c r="G146" s="19"/>
      <c r="H146" s="19"/>
      <c r="I146" s="19"/>
      <c r="J146" s="19"/>
      <c r="K146" s="19"/>
      <c r="L146" s="19"/>
      <c r="M146" s="19"/>
      <c r="N146" s="19"/>
      <c r="O146" s="18" t="str">
        <f aca="false">IF(F146="","",IFERROR(INDEX(Parts!$C$6:$C$45,MATCH(F146,Parts!$A$6:$A$45,0)),""))</f>
        <v/>
      </c>
      <c r="P146" s="18" t="str">
        <f aca="false">IF(F146="","",IFERROR(INDEX(Parts!$E$6:$E$45,MATCH(F146,Parts!$A$6:$A$45,0)),""))</f>
        <v/>
      </c>
      <c r="Q146" s="23" t="str">
        <f aca="false">IF(OR(J146="",P146="",P146=0),"",J146/P146+IF(OR(N146="",K146=""),0,IFERROR(N146/INDEX(Parts!$E$6:$E$45,MATCH(K146,Parts!$A$6:$A$45,0)),0)))</f>
        <v/>
      </c>
      <c r="R146" s="24" t="str">
        <f aca="false">IF(B146="","",IF(J146="",0,J146*IFERROR(INDEX(Parts!$F$6:$F$45,MATCH(F146,Parts!$A$6:$A$45,0)),0))+IF(N146="",0,N146*IFERROR(INDEX(Parts!$F$6:$F$45,MATCH(K146,Parts!$A$6:$A$45,0)),0)))</f>
        <v/>
      </c>
      <c r="S146" s="19"/>
      <c r="T146" s="19"/>
      <c r="U146" s="18" t="str">
        <f aca="false">IF(B146="","",IF(F146="",Settings!$B$9,IFERROR(INDEX(Parts!$H$6:$H$45,MATCH(F146,Parts!$A$6:$A$45,0))+0,Settings!$B$9)))</f>
        <v/>
      </c>
      <c r="V146" s="22" t="str">
        <f aca="false">IF(B146="","",IF(INDEX($E$7:$E$336,ROW()-6+Settings!$B$7)&lt;&gt;"",INDEX($E$7:$E$336,ROW()-6+Settings!$B$7),E146+Settings!$B$7*D146/1440))</f>
        <v/>
      </c>
      <c r="W146" s="22" t="str">
        <f aca="false">IF(B146="","",IF(INDEX($E$7:$E$336,ROW()-6+Settings!$B$7+Settings!$B$8)&lt;&gt;"",INDEX($E$7:$E$336,ROW()-6+Settings!$B$7+Settings!$B$8),E146+(Settings!$B$7+Settings!$B$8)*D146/1440)+U146/1440)</f>
        <v/>
      </c>
      <c r="X146" s="18" t="str">
        <f aca="false">IF(B146="","",IF(INDEX($E$7:$E$336,ROW()-6+Settings!$B$7+Settings!$B$8)&lt;&gt;"","line","estimate"))</f>
        <v/>
      </c>
      <c r="Y146" s="25" t="str">
        <f aca="false">IF(B146="","",INT(W146-Settings!$B$6))</f>
        <v/>
      </c>
      <c r="Z146" s="19"/>
      <c r="AA146" s="18" t="str">
        <f aca="false">IF(B146="","",IF(AND(B146&lt;&gt;"Empty",F146=""),"part missing; ","")&amp;IF(AND(F146&lt;&gt;"",J146=""),"pieces missing; ","")&amp;IF(AND(F146&lt;&gt;"",O146=""),"part not on the Parts sheet; ","")&amp;IF(AND(B146="Empty",OR(F146&lt;&gt;"",K146&lt;&gt;"")),"empty tray with parts; ","")&amp;IF(AND(B146="Loaded",K146&lt;&gt;""),"second part: type Mixed; ","")&amp;IF(AND(Q146&lt;&gt;"",N(Q146)&gt;1),"over 100 % of the spec load; ","")&amp;IF(N(R146)&gt;Settings!$B$10,"over the tray maximum (kg); ","")&amp;IF(AND(K146&lt;&gt;"",IFERROR(INDEX(Parts!$C$6:$C$45,MATCH(K146,Parts!$A$6:$A$45,0)),O146)&lt;&gt;O146),"different processes in one tray; ","")&amp;IF(AND(S146&lt;&gt;"",T146=""),"rework reason missing; ",""))</f>
        <v/>
      </c>
    </row>
    <row r="147" customFormat="false" ht="15" hidden="false" customHeight="false" outlineLevel="0" collapsed="false">
      <c r="A147" s="18" t="str">
        <f aca="false">IF(B147="","",COUNTA(B$7:B147))</f>
        <v/>
      </c>
      <c r="B147" s="19"/>
      <c r="C147" s="20"/>
      <c r="D147" s="19" t="str">
        <f aca="false">IF(B147="","",IF(D146="",Report!$B$12,D146))</f>
        <v/>
      </c>
      <c r="E147" s="22" t="str">
        <f aca="false">IF(B147="","",IF(C147&lt;&gt;"",C147,E146+D146/1440+SUMIFS(Holds!$F$7:$F$46,Holds!$B$7:$B$46,"&gt;="&amp;E146,Holds!$B$7:$B$46,"&lt;"&amp;E146+D146/1440)/1440))</f>
        <v/>
      </c>
      <c r="F147" s="19"/>
      <c r="G147" s="19"/>
      <c r="H147" s="19"/>
      <c r="I147" s="19"/>
      <c r="J147" s="19"/>
      <c r="K147" s="19"/>
      <c r="L147" s="19"/>
      <c r="M147" s="19"/>
      <c r="N147" s="19"/>
      <c r="O147" s="18" t="str">
        <f aca="false">IF(F147="","",IFERROR(INDEX(Parts!$C$6:$C$45,MATCH(F147,Parts!$A$6:$A$45,0)),""))</f>
        <v/>
      </c>
      <c r="P147" s="18" t="str">
        <f aca="false">IF(F147="","",IFERROR(INDEX(Parts!$E$6:$E$45,MATCH(F147,Parts!$A$6:$A$45,0)),""))</f>
        <v/>
      </c>
      <c r="Q147" s="23" t="str">
        <f aca="false">IF(OR(J147="",P147="",P147=0),"",J147/P147+IF(OR(N147="",K147=""),0,IFERROR(N147/INDEX(Parts!$E$6:$E$45,MATCH(K147,Parts!$A$6:$A$45,0)),0)))</f>
        <v/>
      </c>
      <c r="R147" s="24" t="str">
        <f aca="false">IF(B147="","",IF(J147="",0,J147*IFERROR(INDEX(Parts!$F$6:$F$45,MATCH(F147,Parts!$A$6:$A$45,0)),0))+IF(N147="",0,N147*IFERROR(INDEX(Parts!$F$6:$F$45,MATCH(K147,Parts!$A$6:$A$45,0)),0)))</f>
        <v/>
      </c>
      <c r="S147" s="19"/>
      <c r="T147" s="19"/>
      <c r="U147" s="18" t="str">
        <f aca="false">IF(B147="","",IF(F147="",Settings!$B$9,IFERROR(INDEX(Parts!$H$6:$H$45,MATCH(F147,Parts!$A$6:$A$45,0))+0,Settings!$B$9)))</f>
        <v/>
      </c>
      <c r="V147" s="22" t="str">
        <f aca="false">IF(B147="","",IF(INDEX($E$7:$E$336,ROW()-6+Settings!$B$7)&lt;&gt;"",INDEX($E$7:$E$336,ROW()-6+Settings!$B$7),E147+Settings!$B$7*D147/1440))</f>
        <v/>
      </c>
      <c r="W147" s="22" t="str">
        <f aca="false">IF(B147="","",IF(INDEX($E$7:$E$336,ROW()-6+Settings!$B$7+Settings!$B$8)&lt;&gt;"",INDEX($E$7:$E$336,ROW()-6+Settings!$B$7+Settings!$B$8),E147+(Settings!$B$7+Settings!$B$8)*D147/1440)+U147/1440)</f>
        <v/>
      </c>
      <c r="X147" s="18" t="str">
        <f aca="false">IF(B147="","",IF(INDEX($E$7:$E$336,ROW()-6+Settings!$B$7+Settings!$B$8)&lt;&gt;"","line","estimate"))</f>
        <v/>
      </c>
      <c r="Y147" s="25" t="str">
        <f aca="false">IF(B147="","",INT(W147-Settings!$B$6))</f>
        <v/>
      </c>
      <c r="Z147" s="19"/>
      <c r="AA147" s="18" t="str">
        <f aca="false">IF(B147="","",IF(AND(B147&lt;&gt;"Empty",F147=""),"part missing; ","")&amp;IF(AND(F147&lt;&gt;"",J147=""),"pieces missing; ","")&amp;IF(AND(F147&lt;&gt;"",O147=""),"part not on the Parts sheet; ","")&amp;IF(AND(B147="Empty",OR(F147&lt;&gt;"",K147&lt;&gt;"")),"empty tray with parts; ","")&amp;IF(AND(B147="Loaded",K147&lt;&gt;""),"second part: type Mixed; ","")&amp;IF(AND(Q147&lt;&gt;"",N(Q147)&gt;1),"over 100 % of the spec load; ","")&amp;IF(N(R147)&gt;Settings!$B$10,"over the tray maximum (kg); ","")&amp;IF(AND(K147&lt;&gt;"",IFERROR(INDEX(Parts!$C$6:$C$45,MATCH(K147,Parts!$A$6:$A$45,0)),O147)&lt;&gt;O147),"different processes in one tray; ","")&amp;IF(AND(S147&lt;&gt;"",T147=""),"rework reason missing; ",""))</f>
        <v/>
      </c>
    </row>
    <row r="148" customFormat="false" ht="15" hidden="false" customHeight="false" outlineLevel="0" collapsed="false">
      <c r="A148" s="18" t="str">
        <f aca="false">IF(B148="","",COUNTA(B$7:B148))</f>
        <v/>
      </c>
      <c r="B148" s="19"/>
      <c r="C148" s="20"/>
      <c r="D148" s="19" t="str">
        <f aca="false">IF(B148="","",IF(D147="",Report!$B$12,D147))</f>
        <v/>
      </c>
      <c r="E148" s="22" t="str">
        <f aca="false">IF(B148="","",IF(C148&lt;&gt;"",C148,E147+D147/1440+SUMIFS(Holds!$F$7:$F$46,Holds!$B$7:$B$46,"&gt;="&amp;E147,Holds!$B$7:$B$46,"&lt;"&amp;E147+D147/1440)/1440))</f>
        <v/>
      </c>
      <c r="F148" s="19"/>
      <c r="G148" s="19"/>
      <c r="H148" s="19"/>
      <c r="I148" s="19"/>
      <c r="J148" s="19"/>
      <c r="K148" s="19"/>
      <c r="L148" s="19"/>
      <c r="M148" s="19"/>
      <c r="N148" s="19"/>
      <c r="O148" s="18" t="str">
        <f aca="false">IF(F148="","",IFERROR(INDEX(Parts!$C$6:$C$45,MATCH(F148,Parts!$A$6:$A$45,0)),""))</f>
        <v/>
      </c>
      <c r="P148" s="18" t="str">
        <f aca="false">IF(F148="","",IFERROR(INDEX(Parts!$E$6:$E$45,MATCH(F148,Parts!$A$6:$A$45,0)),""))</f>
        <v/>
      </c>
      <c r="Q148" s="23" t="str">
        <f aca="false">IF(OR(J148="",P148="",P148=0),"",J148/P148+IF(OR(N148="",K148=""),0,IFERROR(N148/INDEX(Parts!$E$6:$E$45,MATCH(K148,Parts!$A$6:$A$45,0)),0)))</f>
        <v/>
      </c>
      <c r="R148" s="24" t="str">
        <f aca="false">IF(B148="","",IF(J148="",0,J148*IFERROR(INDEX(Parts!$F$6:$F$45,MATCH(F148,Parts!$A$6:$A$45,0)),0))+IF(N148="",0,N148*IFERROR(INDEX(Parts!$F$6:$F$45,MATCH(K148,Parts!$A$6:$A$45,0)),0)))</f>
        <v/>
      </c>
      <c r="S148" s="19"/>
      <c r="T148" s="19"/>
      <c r="U148" s="18" t="str">
        <f aca="false">IF(B148="","",IF(F148="",Settings!$B$9,IFERROR(INDEX(Parts!$H$6:$H$45,MATCH(F148,Parts!$A$6:$A$45,0))+0,Settings!$B$9)))</f>
        <v/>
      </c>
      <c r="V148" s="22" t="str">
        <f aca="false">IF(B148="","",IF(INDEX($E$7:$E$336,ROW()-6+Settings!$B$7)&lt;&gt;"",INDEX($E$7:$E$336,ROW()-6+Settings!$B$7),E148+Settings!$B$7*D148/1440))</f>
        <v/>
      </c>
      <c r="W148" s="22" t="str">
        <f aca="false">IF(B148="","",IF(INDEX($E$7:$E$336,ROW()-6+Settings!$B$7+Settings!$B$8)&lt;&gt;"",INDEX($E$7:$E$336,ROW()-6+Settings!$B$7+Settings!$B$8),E148+(Settings!$B$7+Settings!$B$8)*D148/1440)+U148/1440)</f>
        <v/>
      </c>
      <c r="X148" s="18" t="str">
        <f aca="false">IF(B148="","",IF(INDEX($E$7:$E$336,ROW()-6+Settings!$B$7+Settings!$B$8)&lt;&gt;"","line","estimate"))</f>
        <v/>
      </c>
      <c r="Y148" s="25" t="str">
        <f aca="false">IF(B148="","",INT(W148-Settings!$B$6))</f>
        <v/>
      </c>
      <c r="Z148" s="19"/>
      <c r="AA148" s="18" t="str">
        <f aca="false">IF(B148="","",IF(AND(B148&lt;&gt;"Empty",F148=""),"part missing; ","")&amp;IF(AND(F148&lt;&gt;"",J148=""),"pieces missing; ","")&amp;IF(AND(F148&lt;&gt;"",O148=""),"part not on the Parts sheet; ","")&amp;IF(AND(B148="Empty",OR(F148&lt;&gt;"",K148&lt;&gt;"")),"empty tray with parts; ","")&amp;IF(AND(B148="Loaded",K148&lt;&gt;""),"second part: type Mixed; ","")&amp;IF(AND(Q148&lt;&gt;"",N(Q148)&gt;1),"over 100 % of the spec load; ","")&amp;IF(N(R148)&gt;Settings!$B$10,"over the tray maximum (kg); ","")&amp;IF(AND(K148&lt;&gt;"",IFERROR(INDEX(Parts!$C$6:$C$45,MATCH(K148,Parts!$A$6:$A$45,0)),O148)&lt;&gt;O148),"different processes in one tray; ","")&amp;IF(AND(S148&lt;&gt;"",T148=""),"rework reason missing; ",""))</f>
        <v/>
      </c>
    </row>
    <row r="149" customFormat="false" ht="15" hidden="false" customHeight="false" outlineLevel="0" collapsed="false">
      <c r="A149" s="18" t="str">
        <f aca="false">IF(B149="","",COUNTA(B$7:B149))</f>
        <v/>
      </c>
      <c r="B149" s="19"/>
      <c r="C149" s="20"/>
      <c r="D149" s="19" t="str">
        <f aca="false">IF(B149="","",IF(D148="",Report!$B$12,D148))</f>
        <v/>
      </c>
      <c r="E149" s="22" t="str">
        <f aca="false">IF(B149="","",IF(C149&lt;&gt;"",C149,E148+D148/1440+SUMIFS(Holds!$F$7:$F$46,Holds!$B$7:$B$46,"&gt;="&amp;E148,Holds!$B$7:$B$46,"&lt;"&amp;E148+D148/1440)/1440))</f>
        <v/>
      </c>
      <c r="F149" s="19"/>
      <c r="G149" s="19"/>
      <c r="H149" s="19"/>
      <c r="I149" s="19"/>
      <c r="J149" s="19"/>
      <c r="K149" s="19"/>
      <c r="L149" s="19"/>
      <c r="M149" s="19"/>
      <c r="N149" s="19"/>
      <c r="O149" s="18" t="str">
        <f aca="false">IF(F149="","",IFERROR(INDEX(Parts!$C$6:$C$45,MATCH(F149,Parts!$A$6:$A$45,0)),""))</f>
        <v/>
      </c>
      <c r="P149" s="18" t="str">
        <f aca="false">IF(F149="","",IFERROR(INDEX(Parts!$E$6:$E$45,MATCH(F149,Parts!$A$6:$A$45,0)),""))</f>
        <v/>
      </c>
      <c r="Q149" s="23" t="str">
        <f aca="false">IF(OR(J149="",P149="",P149=0),"",J149/P149+IF(OR(N149="",K149=""),0,IFERROR(N149/INDEX(Parts!$E$6:$E$45,MATCH(K149,Parts!$A$6:$A$45,0)),0)))</f>
        <v/>
      </c>
      <c r="R149" s="24" t="str">
        <f aca="false">IF(B149="","",IF(J149="",0,J149*IFERROR(INDEX(Parts!$F$6:$F$45,MATCH(F149,Parts!$A$6:$A$45,0)),0))+IF(N149="",0,N149*IFERROR(INDEX(Parts!$F$6:$F$45,MATCH(K149,Parts!$A$6:$A$45,0)),0)))</f>
        <v/>
      </c>
      <c r="S149" s="19"/>
      <c r="T149" s="19"/>
      <c r="U149" s="18" t="str">
        <f aca="false">IF(B149="","",IF(F149="",Settings!$B$9,IFERROR(INDEX(Parts!$H$6:$H$45,MATCH(F149,Parts!$A$6:$A$45,0))+0,Settings!$B$9)))</f>
        <v/>
      </c>
      <c r="V149" s="22" t="str">
        <f aca="false">IF(B149="","",IF(INDEX($E$7:$E$336,ROW()-6+Settings!$B$7)&lt;&gt;"",INDEX($E$7:$E$336,ROW()-6+Settings!$B$7),E149+Settings!$B$7*D149/1440))</f>
        <v/>
      </c>
      <c r="W149" s="22" t="str">
        <f aca="false">IF(B149="","",IF(INDEX($E$7:$E$336,ROW()-6+Settings!$B$7+Settings!$B$8)&lt;&gt;"",INDEX($E$7:$E$336,ROW()-6+Settings!$B$7+Settings!$B$8),E149+(Settings!$B$7+Settings!$B$8)*D149/1440)+U149/1440)</f>
        <v/>
      </c>
      <c r="X149" s="18" t="str">
        <f aca="false">IF(B149="","",IF(INDEX($E$7:$E$336,ROW()-6+Settings!$B$7+Settings!$B$8)&lt;&gt;"","line","estimate"))</f>
        <v/>
      </c>
      <c r="Y149" s="25" t="str">
        <f aca="false">IF(B149="","",INT(W149-Settings!$B$6))</f>
        <v/>
      </c>
      <c r="Z149" s="19"/>
      <c r="AA149" s="18" t="str">
        <f aca="false">IF(B149="","",IF(AND(B149&lt;&gt;"Empty",F149=""),"part missing; ","")&amp;IF(AND(F149&lt;&gt;"",J149=""),"pieces missing; ","")&amp;IF(AND(F149&lt;&gt;"",O149=""),"part not on the Parts sheet; ","")&amp;IF(AND(B149="Empty",OR(F149&lt;&gt;"",K149&lt;&gt;"")),"empty tray with parts; ","")&amp;IF(AND(B149="Loaded",K149&lt;&gt;""),"second part: type Mixed; ","")&amp;IF(AND(Q149&lt;&gt;"",N(Q149)&gt;1),"over 100 % of the spec load; ","")&amp;IF(N(R149)&gt;Settings!$B$10,"over the tray maximum (kg); ","")&amp;IF(AND(K149&lt;&gt;"",IFERROR(INDEX(Parts!$C$6:$C$45,MATCH(K149,Parts!$A$6:$A$45,0)),O149)&lt;&gt;O149),"different processes in one tray; ","")&amp;IF(AND(S149&lt;&gt;"",T149=""),"rework reason missing; ",""))</f>
        <v/>
      </c>
    </row>
    <row r="150" customFormat="false" ht="15" hidden="false" customHeight="false" outlineLevel="0" collapsed="false">
      <c r="A150" s="18" t="str">
        <f aca="false">IF(B150="","",COUNTA(B$7:B150))</f>
        <v/>
      </c>
      <c r="B150" s="19"/>
      <c r="C150" s="20"/>
      <c r="D150" s="19" t="str">
        <f aca="false">IF(B150="","",IF(D149="",Report!$B$12,D149))</f>
        <v/>
      </c>
      <c r="E150" s="22" t="str">
        <f aca="false">IF(B150="","",IF(C150&lt;&gt;"",C150,E149+D149/1440+SUMIFS(Holds!$F$7:$F$46,Holds!$B$7:$B$46,"&gt;="&amp;E149,Holds!$B$7:$B$46,"&lt;"&amp;E149+D149/1440)/1440))</f>
        <v/>
      </c>
      <c r="F150" s="19"/>
      <c r="G150" s="19"/>
      <c r="H150" s="19"/>
      <c r="I150" s="19"/>
      <c r="J150" s="19"/>
      <c r="K150" s="19"/>
      <c r="L150" s="19"/>
      <c r="M150" s="19"/>
      <c r="N150" s="19"/>
      <c r="O150" s="18" t="str">
        <f aca="false">IF(F150="","",IFERROR(INDEX(Parts!$C$6:$C$45,MATCH(F150,Parts!$A$6:$A$45,0)),""))</f>
        <v/>
      </c>
      <c r="P150" s="18" t="str">
        <f aca="false">IF(F150="","",IFERROR(INDEX(Parts!$E$6:$E$45,MATCH(F150,Parts!$A$6:$A$45,0)),""))</f>
        <v/>
      </c>
      <c r="Q150" s="23" t="str">
        <f aca="false">IF(OR(J150="",P150="",P150=0),"",J150/P150+IF(OR(N150="",K150=""),0,IFERROR(N150/INDEX(Parts!$E$6:$E$45,MATCH(K150,Parts!$A$6:$A$45,0)),0)))</f>
        <v/>
      </c>
      <c r="R150" s="24" t="str">
        <f aca="false">IF(B150="","",IF(J150="",0,J150*IFERROR(INDEX(Parts!$F$6:$F$45,MATCH(F150,Parts!$A$6:$A$45,0)),0))+IF(N150="",0,N150*IFERROR(INDEX(Parts!$F$6:$F$45,MATCH(K150,Parts!$A$6:$A$45,0)),0)))</f>
        <v/>
      </c>
      <c r="S150" s="19"/>
      <c r="T150" s="19"/>
      <c r="U150" s="18" t="str">
        <f aca="false">IF(B150="","",IF(F150="",Settings!$B$9,IFERROR(INDEX(Parts!$H$6:$H$45,MATCH(F150,Parts!$A$6:$A$45,0))+0,Settings!$B$9)))</f>
        <v/>
      </c>
      <c r="V150" s="22" t="str">
        <f aca="false">IF(B150="","",IF(INDEX($E$7:$E$336,ROW()-6+Settings!$B$7)&lt;&gt;"",INDEX($E$7:$E$336,ROW()-6+Settings!$B$7),E150+Settings!$B$7*D150/1440))</f>
        <v/>
      </c>
      <c r="W150" s="22" t="str">
        <f aca="false">IF(B150="","",IF(INDEX($E$7:$E$336,ROW()-6+Settings!$B$7+Settings!$B$8)&lt;&gt;"",INDEX($E$7:$E$336,ROW()-6+Settings!$B$7+Settings!$B$8),E150+(Settings!$B$7+Settings!$B$8)*D150/1440)+U150/1440)</f>
        <v/>
      </c>
      <c r="X150" s="18" t="str">
        <f aca="false">IF(B150="","",IF(INDEX($E$7:$E$336,ROW()-6+Settings!$B$7+Settings!$B$8)&lt;&gt;"","line","estimate"))</f>
        <v/>
      </c>
      <c r="Y150" s="25" t="str">
        <f aca="false">IF(B150="","",INT(W150-Settings!$B$6))</f>
        <v/>
      </c>
      <c r="Z150" s="19"/>
      <c r="AA150" s="18" t="str">
        <f aca="false">IF(B150="","",IF(AND(B150&lt;&gt;"Empty",F150=""),"part missing; ","")&amp;IF(AND(F150&lt;&gt;"",J150=""),"pieces missing; ","")&amp;IF(AND(F150&lt;&gt;"",O150=""),"part not on the Parts sheet; ","")&amp;IF(AND(B150="Empty",OR(F150&lt;&gt;"",K150&lt;&gt;"")),"empty tray with parts; ","")&amp;IF(AND(B150="Loaded",K150&lt;&gt;""),"second part: type Mixed; ","")&amp;IF(AND(Q150&lt;&gt;"",N(Q150)&gt;1),"over 100 % of the spec load; ","")&amp;IF(N(R150)&gt;Settings!$B$10,"over the tray maximum (kg); ","")&amp;IF(AND(K150&lt;&gt;"",IFERROR(INDEX(Parts!$C$6:$C$45,MATCH(K150,Parts!$A$6:$A$45,0)),O150)&lt;&gt;O150),"different processes in one tray; ","")&amp;IF(AND(S150&lt;&gt;"",T150=""),"rework reason missing; ",""))</f>
        <v/>
      </c>
    </row>
    <row r="151" customFormat="false" ht="15" hidden="false" customHeight="false" outlineLevel="0" collapsed="false">
      <c r="A151" s="18" t="str">
        <f aca="false">IF(B151="","",COUNTA(B$7:B151))</f>
        <v/>
      </c>
      <c r="B151" s="19"/>
      <c r="C151" s="20"/>
      <c r="D151" s="19" t="str">
        <f aca="false">IF(B151="","",IF(D150="",Report!$B$12,D150))</f>
        <v/>
      </c>
      <c r="E151" s="22" t="str">
        <f aca="false">IF(B151="","",IF(C151&lt;&gt;"",C151,E150+D150/1440+SUMIFS(Holds!$F$7:$F$46,Holds!$B$7:$B$46,"&gt;="&amp;E150,Holds!$B$7:$B$46,"&lt;"&amp;E150+D150/1440)/1440))</f>
        <v/>
      </c>
      <c r="F151" s="19"/>
      <c r="G151" s="19"/>
      <c r="H151" s="19"/>
      <c r="I151" s="19"/>
      <c r="J151" s="19"/>
      <c r="K151" s="19"/>
      <c r="L151" s="19"/>
      <c r="M151" s="19"/>
      <c r="N151" s="19"/>
      <c r="O151" s="18" t="str">
        <f aca="false">IF(F151="","",IFERROR(INDEX(Parts!$C$6:$C$45,MATCH(F151,Parts!$A$6:$A$45,0)),""))</f>
        <v/>
      </c>
      <c r="P151" s="18" t="str">
        <f aca="false">IF(F151="","",IFERROR(INDEX(Parts!$E$6:$E$45,MATCH(F151,Parts!$A$6:$A$45,0)),""))</f>
        <v/>
      </c>
      <c r="Q151" s="23" t="str">
        <f aca="false">IF(OR(J151="",P151="",P151=0),"",J151/P151+IF(OR(N151="",K151=""),0,IFERROR(N151/INDEX(Parts!$E$6:$E$45,MATCH(K151,Parts!$A$6:$A$45,0)),0)))</f>
        <v/>
      </c>
      <c r="R151" s="24" t="str">
        <f aca="false">IF(B151="","",IF(J151="",0,J151*IFERROR(INDEX(Parts!$F$6:$F$45,MATCH(F151,Parts!$A$6:$A$45,0)),0))+IF(N151="",0,N151*IFERROR(INDEX(Parts!$F$6:$F$45,MATCH(K151,Parts!$A$6:$A$45,0)),0)))</f>
        <v/>
      </c>
      <c r="S151" s="19"/>
      <c r="T151" s="19"/>
      <c r="U151" s="18" t="str">
        <f aca="false">IF(B151="","",IF(F151="",Settings!$B$9,IFERROR(INDEX(Parts!$H$6:$H$45,MATCH(F151,Parts!$A$6:$A$45,0))+0,Settings!$B$9)))</f>
        <v/>
      </c>
      <c r="V151" s="22" t="str">
        <f aca="false">IF(B151="","",IF(INDEX($E$7:$E$336,ROW()-6+Settings!$B$7)&lt;&gt;"",INDEX($E$7:$E$336,ROW()-6+Settings!$B$7),E151+Settings!$B$7*D151/1440))</f>
        <v/>
      </c>
      <c r="W151" s="22" t="str">
        <f aca="false">IF(B151="","",IF(INDEX($E$7:$E$336,ROW()-6+Settings!$B$7+Settings!$B$8)&lt;&gt;"",INDEX($E$7:$E$336,ROW()-6+Settings!$B$7+Settings!$B$8),E151+(Settings!$B$7+Settings!$B$8)*D151/1440)+U151/1440)</f>
        <v/>
      </c>
      <c r="X151" s="18" t="str">
        <f aca="false">IF(B151="","",IF(INDEX($E$7:$E$336,ROW()-6+Settings!$B$7+Settings!$B$8)&lt;&gt;"","line","estimate"))</f>
        <v/>
      </c>
      <c r="Y151" s="25" t="str">
        <f aca="false">IF(B151="","",INT(W151-Settings!$B$6))</f>
        <v/>
      </c>
      <c r="Z151" s="19"/>
      <c r="AA151" s="18" t="str">
        <f aca="false">IF(B151="","",IF(AND(B151&lt;&gt;"Empty",F151=""),"part missing; ","")&amp;IF(AND(F151&lt;&gt;"",J151=""),"pieces missing; ","")&amp;IF(AND(F151&lt;&gt;"",O151=""),"part not on the Parts sheet; ","")&amp;IF(AND(B151="Empty",OR(F151&lt;&gt;"",K151&lt;&gt;"")),"empty tray with parts; ","")&amp;IF(AND(B151="Loaded",K151&lt;&gt;""),"second part: type Mixed; ","")&amp;IF(AND(Q151&lt;&gt;"",N(Q151)&gt;1),"over 100 % of the spec load; ","")&amp;IF(N(R151)&gt;Settings!$B$10,"over the tray maximum (kg); ","")&amp;IF(AND(K151&lt;&gt;"",IFERROR(INDEX(Parts!$C$6:$C$45,MATCH(K151,Parts!$A$6:$A$45,0)),O151)&lt;&gt;O151),"different processes in one tray; ","")&amp;IF(AND(S151&lt;&gt;"",T151=""),"rework reason missing; ",""))</f>
        <v/>
      </c>
    </row>
    <row r="152" customFormat="false" ht="15" hidden="false" customHeight="false" outlineLevel="0" collapsed="false">
      <c r="A152" s="18" t="str">
        <f aca="false">IF(B152="","",COUNTA(B$7:B152))</f>
        <v/>
      </c>
      <c r="B152" s="19"/>
      <c r="C152" s="20"/>
      <c r="D152" s="19" t="str">
        <f aca="false">IF(B152="","",IF(D151="",Report!$B$12,D151))</f>
        <v/>
      </c>
      <c r="E152" s="22" t="str">
        <f aca="false">IF(B152="","",IF(C152&lt;&gt;"",C152,E151+D151/1440+SUMIFS(Holds!$F$7:$F$46,Holds!$B$7:$B$46,"&gt;="&amp;E151,Holds!$B$7:$B$46,"&lt;"&amp;E151+D151/1440)/1440))</f>
        <v/>
      </c>
      <c r="F152" s="19"/>
      <c r="G152" s="19"/>
      <c r="H152" s="19"/>
      <c r="I152" s="19"/>
      <c r="J152" s="19"/>
      <c r="K152" s="19"/>
      <c r="L152" s="19"/>
      <c r="M152" s="19"/>
      <c r="N152" s="19"/>
      <c r="O152" s="18" t="str">
        <f aca="false">IF(F152="","",IFERROR(INDEX(Parts!$C$6:$C$45,MATCH(F152,Parts!$A$6:$A$45,0)),""))</f>
        <v/>
      </c>
      <c r="P152" s="18" t="str">
        <f aca="false">IF(F152="","",IFERROR(INDEX(Parts!$E$6:$E$45,MATCH(F152,Parts!$A$6:$A$45,0)),""))</f>
        <v/>
      </c>
      <c r="Q152" s="23" t="str">
        <f aca="false">IF(OR(J152="",P152="",P152=0),"",J152/P152+IF(OR(N152="",K152=""),0,IFERROR(N152/INDEX(Parts!$E$6:$E$45,MATCH(K152,Parts!$A$6:$A$45,0)),0)))</f>
        <v/>
      </c>
      <c r="R152" s="24" t="str">
        <f aca="false">IF(B152="","",IF(J152="",0,J152*IFERROR(INDEX(Parts!$F$6:$F$45,MATCH(F152,Parts!$A$6:$A$45,0)),0))+IF(N152="",0,N152*IFERROR(INDEX(Parts!$F$6:$F$45,MATCH(K152,Parts!$A$6:$A$45,0)),0)))</f>
        <v/>
      </c>
      <c r="S152" s="19"/>
      <c r="T152" s="19"/>
      <c r="U152" s="18" t="str">
        <f aca="false">IF(B152="","",IF(F152="",Settings!$B$9,IFERROR(INDEX(Parts!$H$6:$H$45,MATCH(F152,Parts!$A$6:$A$45,0))+0,Settings!$B$9)))</f>
        <v/>
      </c>
      <c r="V152" s="22" t="str">
        <f aca="false">IF(B152="","",IF(INDEX($E$7:$E$336,ROW()-6+Settings!$B$7)&lt;&gt;"",INDEX($E$7:$E$336,ROW()-6+Settings!$B$7),E152+Settings!$B$7*D152/1440))</f>
        <v/>
      </c>
      <c r="W152" s="22" t="str">
        <f aca="false">IF(B152="","",IF(INDEX($E$7:$E$336,ROW()-6+Settings!$B$7+Settings!$B$8)&lt;&gt;"",INDEX($E$7:$E$336,ROW()-6+Settings!$B$7+Settings!$B$8),E152+(Settings!$B$7+Settings!$B$8)*D152/1440)+U152/1440)</f>
        <v/>
      </c>
      <c r="X152" s="18" t="str">
        <f aca="false">IF(B152="","",IF(INDEX($E$7:$E$336,ROW()-6+Settings!$B$7+Settings!$B$8)&lt;&gt;"","line","estimate"))</f>
        <v/>
      </c>
      <c r="Y152" s="25" t="str">
        <f aca="false">IF(B152="","",INT(W152-Settings!$B$6))</f>
        <v/>
      </c>
      <c r="Z152" s="19"/>
      <c r="AA152" s="18" t="str">
        <f aca="false">IF(B152="","",IF(AND(B152&lt;&gt;"Empty",F152=""),"part missing; ","")&amp;IF(AND(F152&lt;&gt;"",J152=""),"pieces missing; ","")&amp;IF(AND(F152&lt;&gt;"",O152=""),"part not on the Parts sheet; ","")&amp;IF(AND(B152="Empty",OR(F152&lt;&gt;"",K152&lt;&gt;"")),"empty tray with parts; ","")&amp;IF(AND(B152="Loaded",K152&lt;&gt;""),"second part: type Mixed; ","")&amp;IF(AND(Q152&lt;&gt;"",N(Q152)&gt;1),"over 100 % of the spec load; ","")&amp;IF(N(R152)&gt;Settings!$B$10,"over the tray maximum (kg); ","")&amp;IF(AND(K152&lt;&gt;"",IFERROR(INDEX(Parts!$C$6:$C$45,MATCH(K152,Parts!$A$6:$A$45,0)),O152)&lt;&gt;O152),"different processes in one tray; ","")&amp;IF(AND(S152&lt;&gt;"",T152=""),"rework reason missing; ",""))</f>
        <v/>
      </c>
    </row>
    <row r="153" customFormat="false" ht="15" hidden="false" customHeight="false" outlineLevel="0" collapsed="false">
      <c r="A153" s="18" t="str">
        <f aca="false">IF(B153="","",COUNTA(B$7:B153))</f>
        <v/>
      </c>
      <c r="B153" s="19"/>
      <c r="C153" s="20"/>
      <c r="D153" s="19" t="str">
        <f aca="false">IF(B153="","",IF(D152="",Report!$B$12,D152))</f>
        <v/>
      </c>
      <c r="E153" s="22" t="str">
        <f aca="false">IF(B153="","",IF(C153&lt;&gt;"",C153,E152+D152/1440+SUMIFS(Holds!$F$7:$F$46,Holds!$B$7:$B$46,"&gt;="&amp;E152,Holds!$B$7:$B$46,"&lt;"&amp;E152+D152/1440)/1440))</f>
        <v/>
      </c>
      <c r="F153" s="19"/>
      <c r="G153" s="19"/>
      <c r="H153" s="19"/>
      <c r="I153" s="19"/>
      <c r="J153" s="19"/>
      <c r="K153" s="19"/>
      <c r="L153" s="19"/>
      <c r="M153" s="19"/>
      <c r="N153" s="19"/>
      <c r="O153" s="18" t="str">
        <f aca="false">IF(F153="","",IFERROR(INDEX(Parts!$C$6:$C$45,MATCH(F153,Parts!$A$6:$A$45,0)),""))</f>
        <v/>
      </c>
      <c r="P153" s="18" t="str">
        <f aca="false">IF(F153="","",IFERROR(INDEX(Parts!$E$6:$E$45,MATCH(F153,Parts!$A$6:$A$45,0)),""))</f>
        <v/>
      </c>
      <c r="Q153" s="23" t="str">
        <f aca="false">IF(OR(J153="",P153="",P153=0),"",J153/P153+IF(OR(N153="",K153=""),0,IFERROR(N153/INDEX(Parts!$E$6:$E$45,MATCH(K153,Parts!$A$6:$A$45,0)),0)))</f>
        <v/>
      </c>
      <c r="R153" s="24" t="str">
        <f aca="false">IF(B153="","",IF(J153="",0,J153*IFERROR(INDEX(Parts!$F$6:$F$45,MATCH(F153,Parts!$A$6:$A$45,0)),0))+IF(N153="",0,N153*IFERROR(INDEX(Parts!$F$6:$F$45,MATCH(K153,Parts!$A$6:$A$45,0)),0)))</f>
        <v/>
      </c>
      <c r="S153" s="19"/>
      <c r="T153" s="19"/>
      <c r="U153" s="18" t="str">
        <f aca="false">IF(B153="","",IF(F153="",Settings!$B$9,IFERROR(INDEX(Parts!$H$6:$H$45,MATCH(F153,Parts!$A$6:$A$45,0))+0,Settings!$B$9)))</f>
        <v/>
      </c>
      <c r="V153" s="22" t="str">
        <f aca="false">IF(B153="","",IF(INDEX($E$7:$E$336,ROW()-6+Settings!$B$7)&lt;&gt;"",INDEX($E$7:$E$336,ROW()-6+Settings!$B$7),E153+Settings!$B$7*D153/1440))</f>
        <v/>
      </c>
      <c r="W153" s="22" t="str">
        <f aca="false">IF(B153="","",IF(INDEX($E$7:$E$336,ROW()-6+Settings!$B$7+Settings!$B$8)&lt;&gt;"",INDEX($E$7:$E$336,ROW()-6+Settings!$B$7+Settings!$B$8),E153+(Settings!$B$7+Settings!$B$8)*D153/1440)+U153/1440)</f>
        <v/>
      </c>
      <c r="X153" s="18" t="str">
        <f aca="false">IF(B153="","",IF(INDEX($E$7:$E$336,ROW()-6+Settings!$B$7+Settings!$B$8)&lt;&gt;"","line","estimate"))</f>
        <v/>
      </c>
      <c r="Y153" s="25" t="str">
        <f aca="false">IF(B153="","",INT(W153-Settings!$B$6))</f>
        <v/>
      </c>
      <c r="Z153" s="19"/>
      <c r="AA153" s="18" t="str">
        <f aca="false">IF(B153="","",IF(AND(B153&lt;&gt;"Empty",F153=""),"part missing; ","")&amp;IF(AND(F153&lt;&gt;"",J153=""),"pieces missing; ","")&amp;IF(AND(F153&lt;&gt;"",O153=""),"part not on the Parts sheet; ","")&amp;IF(AND(B153="Empty",OR(F153&lt;&gt;"",K153&lt;&gt;"")),"empty tray with parts; ","")&amp;IF(AND(B153="Loaded",K153&lt;&gt;""),"second part: type Mixed; ","")&amp;IF(AND(Q153&lt;&gt;"",N(Q153)&gt;1),"over 100 % of the spec load; ","")&amp;IF(N(R153)&gt;Settings!$B$10,"over the tray maximum (kg); ","")&amp;IF(AND(K153&lt;&gt;"",IFERROR(INDEX(Parts!$C$6:$C$45,MATCH(K153,Parts!$A$6:$A$45,0)),O153)&lt;&gt;O153),"different processes in one tray; ","")&amp;IF(AND(S153&lt;&gt;"",T153=""),"rework reason missing; ",""))</f>
        <v/>
      </c>
    </row>
    <row r="154" customFormat="false" ht="15" hidden="false" customHeight="false" outlineLevel="0" collapsed="false">
      <c r="A154" s="18" t="str">
        <f aca="false">IF(B154="","",COUNTA(B$7:B154))</f>
        <v/>
      </c>
      <c r="B154" s="19"/>
      <c r="C154" s="20"/>
      <c r="D154" s="19" t="str">
        <f aca="false">IF(B154="","",IF(D153="",Report!$B$12,D153))</f>
        <v/>
      </c>
      <c r="E154" s="22" t="str">
        <f aca="false">IF(B154="","",IF(C154&lt;&gt;"",C154,E153+D153/1440+SUMIFS(Holds!$F$7:$F$46,Holds!$B$7:$B$46,"&gt;="&amp;E153,Holds!$B$7:$B$46,"&lt;"&amp;E153+D153/1440)/1440))</f>
        <v/>
      </c>
      <c r="F154" s="19"/>
      <c r="G154" s="19"/>
      <c r="H154" s="19"/>
      <c r="I154" s="19"/>
      <c r="J154" s="19"/>
      <c r="K154" s="19"/>
      <c r="L154" s="19"/>
      <c r="M154" s="19"/>
      <c r="N154" s="19"/>
      <c r="O154" s="18" t="str">
        <f aca="false">IF(F154="","",IFERROR(INDEX(Parts!$C$6:$C$45,MATCH(F154,Parts!$A$6:$A$45,0)),""))</f>
        <v/>
      </c>
      <c r="P154" s="18" t="str">
        <f aca="false">IF(F154="","",IFERROR(INDEX(Parts!$E$6:$E$45,MATCH(F154,Parts!$A$6:$A$45,0)),""))</f>
        <v/>
      </c>
      <c r="Q154" s="23" t="str">
        <f aca="false">IF(OR(J154="",P154="",P154=0),"",J154/P154+IF(OR(N154="",K154=""),0,IFERROR(N154/INDEX(Parts!$E$6:$E$45,MATCH(K154,Parts!$A$6:$A$45,0)),0)))</f>
        <v/>
      </c>
      <c r="R154" s="24" t="str">
        <f aca="false">IF(B154="","",IF(J154="",0,J154*IFERROR(INDEX(Parts!$F$6:$F$45,MATCH(F154,Parts!$A$6:$A$45,0)),0))+IF(N154="",0,N154*IFERROR(INDEX(Parts!$F$6:$F$45,MATCH(K154,Parts!$A$6:$A$45,0)),0)))</f>
        <v/>
      </c>
      <c r="S154" s="19"/>
      <c r="T154" s="19"/>
      <c r="U154" s="18" t="str">
        <f aca="false">IF(B154="","",IF(F154="",Settings!$B$9,IFERROR(INDEX(Parts!$H$6:$H$45,MATCH(F154,Parts!$A$6:$A$45,0))+0,Settings!$B$9)))</f>
        <v/>
      </c>
      <c r="V154" s="22" t="str">
        <f aca="false">IF(B154="","",IF(INDEX($E$7:$E$336,ROW()-6+Settings!$B$7)&lt;&gt;"",INDEX($E$7:$E$336,ROW()-6+Settings!$B$7),E154+Settings!$B$7*D154/1440))</f>
        <v/>
      </c>
      <c r="W154" s="22" t="str">
        <f aca="false">IF(B154="","",IF(INDEX($E$7:$E$336,ROW()-6+Settings!$B$7+Settings!$B$8)&lt;&gt;"",INDEX($E$7:$E$336,ROW()-6+Settings!$B$7+Settings!$B$8),E154+(Settings!$B$7+Settings!$B$8)*D154/1440)+U154/1440)</f>
        <v/>
      </c>
      <c r="X154" s="18" t="str">
        <f aca="false">IF(B154="","",IF(INDEX($E$7:$E$336,ROW()-6+Settings!$B$7+Settings!$B$8)&lt;&gt;"","line","estimate"))</f>
        <v/>
      </c>
      <c r="Y154" s="25" t="str">
        <f aca="false">IF(B154="","",INT(W154-Settings!$B$6))</f>
        <v/>
      </c>
      <c r="Z154" s="19"/>
      <c r="AA154" s="18" t="str">
        <f aca="false">IF(B154="","",IF(AND(B154&lt;&gt;"Empty",F154=""),"part missing; ","")&amp;IF(AND(F154&lt;&gt;"",J154=""),"pieces missing; ","")&amp;IF(AND(F154&lt;&gt;"",O154=""),"part not on the Parts sheet; ","")&amp;IF(AND(B154="Empty",OR(F154&lt;&gt;"",K154&lt;&gt;"")),"empty tray with parts; ","")&amp;IF(AND(B154="Loaded",K154&lt;&gt;""),"second part: type Mixed; ","")&amp;IF(AND(Q154&lt;&gt;"",N(Q154)&gt;1),"over 100 % of the spec load; ","")&amp;IF(N(R154)&gt;Settings!$B$10,"over the tray maximum (kg); ","")&amp;IF(AND(K154&lt;&gt;"",IFERROR(INDEX(Parts!$C$6:$C$45,MATCH(K154,Parts!$A$6:$A$45,0)),O154)&lt;&gt;O154),"different processes in one tray; ","")&amp;IF(AND(S154&lt;&gt;"",T154=""),"rework reason missing; ",""))</f>
        <v/>
      </c>
    </row>
    <row r="155" customFormat="false" ht="15" hidden="false" customHeight="false" outlineLevel="0" collapsed="false">
      <c r="A155" s="18" t="str">
        <f aca="false">IF(B155="","",COUNTA(B$7:B155))</f>
        <v/>
      </c>
      <c r="B155" s="19"/>
      <c r="C155" s="20"/>
      <c r="D155" s="19" t="str">
        <f aca="false">IF(B155="","",IF(D154="",Report!$B$12,D154))</f>
        <v/>
      </c>
      <c r="E155" s="22" t="str">
        <f aca="false">IF(B155="","",IF(C155&lt;&gt;"",C155,E154+D154/1440+SUMIFS(Holds!$F$7:$F$46,Holds!$B$7:$B$46,"&gt;="&amp;E154,Holds!$B$7:$B$46,"&lt;"&amp;E154+D154/1440)/1440))</f>
        <v/>
      </c>
      <c r="F155" s="19"/>
      <c r="G155" s="19"/>
      <c r="H155" s="19"/>
      <c r="I155" s="19"/>
      <c r="J155" s="19"/>
      <c r="K155" s="19"/>
      <c r="L155" s="19"/>
      <c r="M155" s="19"/>
      <c r="N155" s="19"/>
      <c r="O155" s="18" t="str">
        <f aca="false">IF(F155="","",IFERROR(INDEX(Parts!$C$6:$C$45,MATCH(F155,Parts!$A$6:$A$45,0)),""))</f>
        <v/>
      </c>
      <c r="P155" s="18" t="str">
        <f aca="false">IF(F155="","",IFERROR(INDEX(Parts!$E$6:$E$45,MATCH(F155,Parts!$A$6:$A$45,0)),""))</f>
        <v/>
      </c>
      <c r="Q155" s="23" t="str">
        <f aca="false">IF(OR(J155="",P155="",P155=0),"",J155/P155+IF(OR(N155="",K155=""),0,IFERROR(N155/INDEX(Parts!$E$6:$E$45,MATCH(K155,Parts!$A$6:$A$45,0)),0)))</f>
        <v/>
      </c>
      <c r="R155" s="24" t="str">
        <f aca="false">IF(B155="","",IF(J155="",0,J155*IFERROR(INDEX(Parts!$F$6:$F$45,MATCH(F155,Parts!$A$6:$A$45,0)),0))+IF(N155="",0,N155*IFERROR(INDEX(Parts!$F$6:$F$45,MATCH(K155,Parts!$A$6:$A$45,0)),0)))</f>
        <v/>
      </c>
      <c r="S155" s="19"/>
      <c r="T155" s="19"/>
      <c r="U155" s="18" t="str">
        <f aca="false">IF(B155="","",IF(F155="",Settings!$B$9,IFERROR(INDEX(Parts!$H$6:$H$45,MATCH(F155,Parts!$A$6:$A$45,0))+0,Settings!$B$9)))</f>
        <v/>
      </c>
      <c r="V155" s="22" t="str">
        <f aca="false">IF(B155="","",IF(INDEX($E$7:$E$336,ROW()-6+Settings!$B$7)&lt;&gt;"",INDEX($E$7:$E$336,ROW()-6+Settings!$B$7),E155+Settings!$B$7*D155/1440))</f>
        <v/>
      </c>
      <c r="W155" s="22" t="str">
        <f aca="false">IF(B155="","",IF(INDEX($E$7:$E$336,ROW()-6+Settings!$B$7+Settings!$B$8)&lt;&gt;"",INDEX($E$7:$E$336,ROW()-6+Settings!$B$7+Settings!$B$8),E155+(Settings!$B$7+Settings!$B$8)*D155/1440)+U155/1440)</f>
        <v/>
      </c>
      <c r="X155" s="18" t="str">
        <f aca="false">IF(B155="","",IF(INDEX($E$7:$E$336,ROW()-6+Settings!$B$7+Settings!$B$8)&lt;&gt;"","line","estimate"))</f>
        <v/>
      </c>
      <c r="Y155" s="25" t="str">
        <f aca="false">IF(B155="","",INT(W155-Settings!$B$6))</f>
        <v/>
      </c>
      <c r="Z155" s="19"/>
      <c r="AA155" s="18" t="str">
        <f aca="false">IF(B155="","",IF(AND(B155&lt;&gt;"Empty",F155=""),"part missing; ","")&amp;IF(AND(F155&lt;&gt;"",J155=""),"pieces missing; ","")&amp;IF(AND(F155&lt;&gt;"",O155=""),"part not on the Parts sheet; ","")&amp;IF(AND(B155="Empty",OR(F155&lt;&gt;"",K155&lt;&gt;"")),"empty tray with parts; ","")&amp;IF(AND(B155="Loaded",K155&lt;&gt;""),"second part: type Mixed; ","")&amp;IF(AND(Q155&lt;&gt;"",N(Q155)&gt;1),"over 100 % of the spec load; ","")&amp;IF(N(R155)&gt;Settings!$B$10,"over the tray maximum (kg); ","")&amp;IF(AND(K155&lt;&gt;"",IFERROR(INDEX(Parts!$C$6:$C$45,MATCH(K155,Parts!$A$6:$A$45,0)),O155)&lt;&gt;O155),"different processes in one tray; ","")&amp;IF(AND(S155&lt;&gt;"",T155=""),"rework reason missing; ",""))</f>
        <v/>
      </c>
    </row>
    <row r="156" customFormat="false" ht="15" hidden="false" customHeight="false" outlineLevel="0" collapsed="false">
      <c r="A156" s="18" t="str">
        <f aca="false">IF(B156="","",COUNTA(B$7:B156))</f>
        <v/>
      </c>
      <c r="B156" s="19"/>
      <c r="C156" s="20"/>
      <c r="D156" s="19" t="str">
        <f aca="false">IF(B156="","",IF(D155="",Report!$B$12,D155))</f>
        <v/>
      </c>
      <c r="E156" s="22" t="str">
        <f aca="false">IF(B156="","",IF(C156&lt;&gt;"",C156,E155+D155/1440+SUMIFS(Holds!$F$7:$F$46,Holds!$B$7:$B$46,"&gt;="&amp;E155,Holds!$B$7:$B$46,"&lt;"&amp;E155+D155/1440)/1440))</f>
        <v/>
      </c>
      <c r="F156" s="19"/>
      <c r="G156" s="19"/>
      <c r="H156" s="19"/>
      <c r="I156" s="19"/>
      <c r="J156" s="19"/>
      <c r="K156" s="19"/>
      <c r="L156" s="19"/>
      <c r="M156" s="19"/>
      <c r="N156" s="19"/>
      <c r="O156" s="18" t="str">
        <f aca="false">IF(F156="","",IFERROR(INDEX(Parts!$C$6:$C$45,MATCH(F156,Parts!$A$6:$A$45,0)),""))</f>
        <v/>
      </c>
      <c r="P156" s="18" t="str">
        <f aca="false">IF(F156="","",IFERROR(INDEX(Parts!$E$6:$E$45,MATCH(F156,Parts!$A$6:$A$45,0)),""))</f>
        <v/>
      </c>
      <c r="Q156" s="23" t="str">
        <f aca="false">IF(OR(J156="",P156="",P156=0),"",J156/P156+IF(OR(N156="",K156=""),0,IFERROR(N156/INDEX(Parts!$E$6:$E$45,MATCH(K156,Parts!$A$6:$A$45,0)),0)))</f>
        <v/>
      </c>
      <c r="R156" s="24" t="str">
        <f aca="false">IF(B156="","",IF(J156="",0,J156*IFERROR(INDEX(Parts!$F$6:$F$45,MATCH(F156,Parts!$A$6:$A$45,0)),0))+IF(N156="",0,N156*IFERROR(INDEX(Parts!$F$6:$F$45,MATCH(K156,Parts!$A$6:$A$45,0)),0)))</f>
        <v/>
      </c>
      <c r="S156" s="19"/>
      <c r="T156" s="19"/>
      <c r="U156" s="18" t="str">
        <f aca="false">IF(B156="","",IF(F156="",Settings!$B$9,IFERROR(INDEX(Parts!$H$6:$H$45,MATCH(F156,Parts!$A$6:$A$45,0))+0,Settings!$B$9)))</f>
        <v/>
      </c>
      <c r="V156" s="22" t="str">
        <f aca="false">IF(B156="","",IF(INDEX($E$7:$E$336,ROW()-6+Settings!$B$7)&lt;&gt;"",INDEX($E$7:$E$336,ROW()-6+Settings!$B$7),E156+Settings!$B$7*D156/1440))</f>
        <v/>
      </c>
      <c r="W156" s="22" t="str">
        <f aca="false">IF(B156="","",IF(INDEX($E$7:$E$336,ROW()-6+Settings!$B$7+Settings!$B$8)&lt;&gt;"",INDEX($E$7:$E$336,ROW()-6+Settings!$B$7+Settings!$B$8),E156+(Settings!$B$7+Settings!$B$8)*D156/1440)+U156/1440)</f>
        <v/>
      </c>
      <c r="X156" s="18" t="str">
        <f aca="false">IF(B156="","",IF(INDEX($E$7:$E$336,ROW()-6+Settings!$B$7+Settings!$B$8)&lt;&gt;"","line","estimate"))</f>
        <v/>
      </c>
      <c r="Y156" s="25" t="str">
        <f aca="false">IF(B156="","",INT(W156-Settings!$B$6))</f>
        <v/>
      </c>
      <c r="Z156" s="19"/>
      <c r="AA156" s="18" t="str">
        <f aca="false">IF(B156="","",IF(AND(B156&lt;&gt;"Empty",F156=""),"part missing; ","")&amp;IF(AND(F156&lt;&gt;"",J156=""),"pieces missing; ","")&amp;IF(AND(F156&lt;&gt;"",O156=""),"part not on the Parts sheet; ","")&amp;IF(AND(B156="Empty",OR(F156&lt;&gt;"",K156&lt;&gt;"")),"empty tray with parts; ","")&amp;IF(AND(B156="Loaded",K156&lt;&gt;""),"second part: type Mixed; ","")&amp;IF(AND(Q156&lt;&gt;"",N(Q156)&gt;1),"over 100 % of the spec load; ","")&amp;IF(N(R156)&gt;Settings!$B$10,"over the tray maximum (kg); ","")&amp;IF(AND(K156&lt;&gt;"",IFERROR(INDEX(Parts!$C$6:$C$45,MATCH(K156,Parts!$A$6:$A$45,0)),O156)&lt;&gt;O156),"different processes in one tray; ","")&amp;IF(AND(S156&lt;&gt;"",T156=""),"rework reason missing; ",""))</f>
        <v/>
      </c>
    </row>
    <row r="157" customFormat="false" ht="15" hidden="false" customHeight="false" outlineLevel="0" collapsed="false">
      <c r="A157" s="18" t="str">
        <f aca="false">IF(B157="","",COUNTA(B$7:B157))</f>
        <v/>
      </c>
      <c r="B157" s="19"/>
      <c r="C157" s="20"/>
      <c r="D157" s="19" t="str">
        <f aca="false">IF(B157="","",IF(D156="",Report!$B$12,D156))</f>
        <v/>
      </c>
      <c r="E157" s="22" t="str">
        <f aca="false">IF(B157="","",IF(C157&lt;&gt;"",C157,E156+D156/1440+SUMIFS(Holds!$F$7:$F$46,Holds!$B$7:$B$46,"&gt;="&amp;E156,Holds!$B$7:$B$46,"&lt;"&amp;E156+D156/1440)/1440))</f>
        <v/>
      </c>
      <c r="F157" s="19"/>
      <c r="G157" s="19"/>
      <c r="H157" s="19"/>
      <c r="I157" s="19"/>
      <c r="J157" s="19"/>
      <c r="K157" s="19"/>
      <c r="L157" s="19"/>
      <c r="M157" s="19"/>
      <c r="N157" s="19"/>
      <c r="O157" s="18" t="str">
        <f aca="false">IF(F157="","",IFERROR(INDEX(Parts!$C$6:$C$45,MATCH(F157,Parts!$A$6:$A$45,0)),""))</f>
        <v/>
      </c>
      <c r="P157" s="18" t="str">
        <f aca="false">IF(F157="","",IFERROR(INDEX(Parts!$E$6:$E$45,MATCH(F157,Parts!$A$6:$A$45,0)),""))</f>
        <v/>
      </c>
      <c r="Q157" s="23" t="str">
        <f aca="false">IF(OR(J157="",P157="",P157=0),"",J157/P157+IF(OR(N157="",K157=""),0,IFERROR(N157/INDEX(Parts!$E$6:$E$45,MATCH(K157,Parts!$A$6:$A$45,0)),0)))</f>
        <v/>
      </c>
      <c r="R157" s="24" t="str">
        <f aca="false">IF(B157="","",IF(J157="",0,J157*IFERROR(INDEX(Parts!$F$6:$F$45,MATCH(F157,Parts!$A$6:$A$45,0)),0))+IF(N157="",0,N157*IFERROR(INDEX(Parts!$F$6:$F$45,MATCH(K157,Parts!$A$6:$A$45,0)),0)))</f>
        <v/>
      </c>
      <c r="S157" s="19"/>
      <c r="T157" s="19"/>
      <c r="U157" s="18" t="str">
        <f aca="false">IF(B157="","",IF(F157="",Settings!$B$9,IFERROR(INDEX(Parts!$H$6:$H$45,MATCH(F157,Parts!$A$6:$A$45,0))+0,Settings!$B$9)))</f>
        <v/>
      </c>
      <c r="V157" s="22" t="str">
        <f aca="false">IF(B157="","",IF(INDEX($E$7:$E$336,ROW()-6+Settings!$B$7)&lt;&gt;"",INDEX($E$7:$E$336,ROW()-6+Settings!$B$7),E157+Settings!$B$7*D157/1440))</f>
        <v/>
      </c>
      <c r="W157" s="22" t="str">
        <f aca="false">IF(B157="","",IF(INDEX($E$7:$E$336,ROW()-6+Settings!$B$7+Settings!$B$8)&lt;&gt;"",INDEX($E$7:$E$336,ROW()-6+Settings!$B$7+Settings!$B$8),E157+(Settings!$B$7+Settings!$B$8)*D157/1440)+U157/1440)</f>
        <v/>
      </c>
      <c r="X157" s="18" t="str">
        <f aca="false">IF(B157="","",IF(INDEX($E$7:$E$336,ROW()-6+Settings!$B$7+Settings!$B$8)&lt;&gt;"","line","estimate"))</f>
        <v/>
      </c>
      <c r="Y157" s="25" t="str">
        <f aca="false">IF(B157="","",INT(W157-Settings!$B$6))</f>
        <v/>
      </c>
      <c r="Z157" s="19"/>
      <c r="AA157" s="18" t="str">
        <f aca="false">IF(B157="","",IF(AND(B157&lt;&gt;"Empty",F157=""),"part missing; ","")&amp;IF(AND(F157&lt;&gt;"",J157=""),"pieces missing; ","")&amp;IF(AND(F157&lt;&gt;"",O157=""),"part not on the Parts sheet; ","")&amp;IF(AND(B157="Empty",OR(F157&lt;&gt;"",K157&lt;&gt;"")),"empty tray with parts; ","")&amp;IF(AND(B157="Loaded",K157&lt;&gt;""),"second part: type Mixed; ","")&amp;IF(AND(Q157&lt;&gt;"",N(Q157)&gt;1),"over 100 % of the spec load; ","")&amp;IF(N(R157)&gt;Settings!$B$10,"over the tray maximum (kg); ","")&amp;IF(AND(K157&lt;&gt;"",IFERROR(INDEX(Parts!$C$6:$C$45,MATCH(K157,Parts!$A$6:$A$45,0)),O157)&lt;&gt;O157),"different processes in one tray; ","")&amp;IF(AND(S157&lt;&gt;"",T157=""),"rework reason missing; ",""))</f>
        <v/>
      </c>
    </row>
    <row r="158" customFormat="false" ht="15" hidden="false" customHeight="false" outlineLevel="0" collapsed="false">
      <c r="A158" s="18" t="str">
        <f aca="false">IF(B158="","",COUNTA(B$7:B158))</f>
        <v/>
      </c>
      <c r="B158" s="19"/>
      <c r="C158" s="20"/>
      <c r="D158" s="19" t="str">
        <f aca="false">IF(B158="","",IF(D157="",Report!$B$12,D157))</f>
        <v/>
      </c>
      <c r="E158" s="22" t="str">
        <f aca="false">IF(B158="","",IF(C158&lt;&gt;"",C158,E157+D157/1440+SUMIFS(Holds!$F$7:$F$46,Holds!$B$7:$B$46,"&gt;="&amp;E157,Holds!$B$7:$B$46,"&lt;"&amp;E157+D157/1440)/1440))</f>
        <v/>
      </c>
      <c r="F158" s="19"/>
      <c r="G158" s="19"/>
      <c r="H158" s="19"/>
      <c r="I158" s="19"/>
      <c r="J158" s="19"/>
      <c r="K158" s="19"/>
      <c r="L158" s="19"/>
      <c r="M158" s="19"/>
      <c r="N158" s="19"/>
      <c r="O158" s="18" t="str">
        <f aca="false">IF(F158="","",IFERROR(INDEX(Parts!$C$6:$C$45,MATCH(F158,Parts!$A$6:$A$45,0)),""))</f>
        <v/>
      </c>
      <c r="P158" s="18" t="str">
        <f aca="false">IF(F158="","",IFERROR(INDEX(Parts!$E$6:$E$45,MATCH(F158,Parts!$A$6:$A$45,0)),""))</f>
        <v/>
      </c>
      <c r="Q158" s="23" t="str">
        <f aca="false">IF(OR(J158="",P158="",P158=0),"",J158/P158+IF(OR(N158="",K158=""),0,IFERROR(N158/INDEX(Parts!$E$6:$E$45,MATCH(K158,Parts!$A$6:$A$45,0)),0)))</f>
        <v/>
      </c>
      <c r="R158" s="24" t="str">
        <f aca="false">IF(B158="","",IF(J158="",0,J158*IFERROR(INDEX(Parts!$F$6:$F$45,MATCH(F158,Parts!$A$6:$A$45,0)),0))+IF(N158="",0,N158*IFERROR(INDEX(Parts!$F$6:$F$45,MATCH(K158,Parts!$A$6:$A$45,0)),0)))</f>
        <v/>
      </c>
      <c r="S158" s="19"/>
      <c r="T158" s="19"/>
      <c r="U158" s="18" t="str">
        <f aca="false">IF(B158="","",IF(F158="",Settings!$B$9,IFERROR(INDEX(Parts!$H$6:$H$45,MATCH(F158,Parts!$A$6:$A$45,0))+0,Settings!$B$9)))</f>
        <v/>
      </c>
      <c r="V158" s="22" t="str">
        <f aca="false">IF(B158="","",IF(INDEX($E$7:$E$336,ROW()-6+Settings!$B$7)&lt;&gt;"",INDEX($E$7:$E$336,ROW()-6+Settings!$B$7),E158+Settings!$B$7*D158/1440))</f>
        <v/>
      </c>
      <c r="W158" s="22" t="str">
        <f aca="false">IF(B158="","",IF(INDEX($E$7:$E$336,ROW()-6+Settings!$B$7+Settings!$B$8)&lt;&gt;"",INDEX($E$7:$E$336,ROW()-6+Settings!$B$7+Settings!$B$8),E158+(Settings!$B$7+Settings!$B$8)*D158/1440)+U158/1440)</f>
        <v/>
      </c>
      <c r="X158" s="18" t="str">
        <f aca="false">IF(B158="","",IF(INDEX($E$7:$E$336,ROW()-6+Settings!$B$7+Settings!$B$8)&lt;&gt;"","line","estimate"))</f>
        <v/>
      </c>
      <c r="Y158" s="25" t="str">
        <f aca="false">IF(B158="","",INT(W158-Settings!$B$6))</f>
        <v/>
      </c>
      <c r="Z158" s="19"/>
      <c r="AA158" s="18" t="str">
        <f aca="false">IF(B158="","",IF(AND(B158&lt;&gt;"Empty",F158=""),"part missing; ","")&amp;IF(AND(F158&lt;&gt;"",J158=""),"pieces missing; ","")&amp;IF(AND(F158&lt;&gt;"",O158=""),"part not on the Parts sheet; ","")&amp;IF(AND(B158="Empty",OR(F158&lt;&gt;"",K158&lt;&gt;"")),"empty tray with parts; ","")&amp;IF(AND(B158="Loaded",K158&lt;&gt;""),"second part: type Mixed; ","")&amp;IF(AND(Q158&lt;&gt;"",N(Q158)&gt;1),"over 100 % of the spec load; ","")&amp;IF(N(R158)&gt;Settings!$B$10,"over the tray maximum (kg); ","")&amp;IF(AND(K158&lt;&gt;"",IFERROR(INDEX(Parts!$C$6:$C$45,MATCH(K158,Parts!$A$6:$A$45,0)),O158)&lt;&gt;O158),"different processes in one tray; ","")&amp;IF(AND(S158&lt;&gt;"",T158=""),"rework reason missing; ",""))</f>
        <v/>
      </c>
    </row>
    <row r="159" customFormat="false" ht="15" hidden="false" customHeight="false" outlineLevel="0" collapsed="false">
      <c r="A159" s="18" t="str">
        <f aca="false">IF(B159="","",COUNTA(B$7:B159))</f>
        <v/>
      </c>
      <c r="B159" s="19"/>
      <c r="C159" s="20"/>
      <c r="D159" s="19" t="str">
        <f aca="false">IF(B159="","",IF(D158="",Report!$B$12,D158))</f>
        <v/>
      </c>
      <c r="E159" s="22" t="str">
        <f aca="false">IF(B159="","",IF(C159&lt;&gt;"",C159,E158+D158/1440+SUMIFS(Holds!$F$7:$F$46,Holds!$B$7:$B$46,"&gt;="&amp;E158,Holds!$B$7:$B$46,"&lt;"&amp;E158+D158/1440)/1440))</f>
        <v/>
      </c>
      <c r="F159" s="19"/>
      <c r="G159" s="19"/>
      <c r="H159" s="19"/>
      <c r="I159" s="19"/>
      <c r="J159" s="19"/>
      <c r="K159" s="19"/>
      <c r="L159" s="19"/>
      <c r="M159" s="19"/>
      <c r="N159" s="19"/>
      <c r="O159" s="18" t="str">
        <f aca="false">IF(F159="","",IFERROR(INDEX(Parts!$C$6:$C$45,MATCH(F159,Parts!$A$6:$A$45,0)),""))</f>
        <v/>
      </c>
      <c r="P159" s="18" t="str">
        <f aca="false">IF(F159="","",IFERROR(INDEX(Parts!$E$6:$E$45,MATCH(F159,Parts!$A$6:$A$45,0)),""))</f>
        <v/>
      </c>
      <c r="Q159" s="23" t="str">
        <f aca="false">IF(OR(J159="",P159="",P159=0),"",J159/P159+IF(OR(N159="",K159=""),0,IFERROR(N159/INDEX(Parts!$E$6:$E$45,MATCH(K159,Parts!$A$6:$A$45,0)),0)))</f>
        <v/>
      </c>
      <c r="R159" s="24" t="str">
        <f aca="false">IF(B159="","",IF(J159="",0,J159*IFERROR(INDEX(Parts!$F$6:$F$45,MATCH(F159,Parts!$A$6:$A$45,0)),0))+IF(N159="",0,N159*IFERROR(INDEX(Parts!$F$6:$F$45,MATCH(K159,Parts!$A$6:$A$45,0)),0)))</f>
        <v/>
      </c>
      <c r="S159" s="19"/>
      <c r="T159" s="19"/>
      <c r="U159" s="18" t="str">
        <f aca="false">IF(B159="","",IF(F159="",Settings!$B$9,IFERROR(INDEX(Parts!$H$6:$H$45,MATCH(F159,Parts!$A$6:$A$45,0))+0,Settings!$B$9)))</f>
        <v/>
      </c>
      <c r="V159" s="22" t="str">
        <f aca="false">IF(B159="","",IF(INDEX($E$7:$E$336,ROW()-6+Settings!$B$7)&lt;&gt;"",INDEX($E$7:$E$336,ROW()-6+Settings!$B$7),E159+Settings!$B$7*D159/1440))</f>
        <v/>
      </c>
      <c r="W159" s="22" t="str">
        <f aca="false">IF(B159="","",IF(INDEX($E$7:$E$336,ROW()-6+Settings!$B$7+Settings!$B$8)&lt;&gt;"",INDEX($E$7:$E$336,ROW()-6+Settings!$B$7+Settings!$B$8),E159+(Settings!$B$7+Settings!$B$8)*D159/1440)+U159/1440)</f>
        <v/>
      </c>
      <c r="X159" s="18" t="str">
        <f aca="false">IF(B159="","",IF(INDEX($E$7:$E$336,ROW()-6+Settings!$B$7+Settings!$B$8)&lt;&gt;"","line","estimate"))</f>
        <v/>
      </c>
      <c r="Y159" s="25" t="str">
        <f aca="false">IF(B159="","",INT(W159-Settings!$B$6))</f>
        <v/>
      </c>
      <c r="Z159" s="19"/>
      <c r="AA159" s="18" t="str">
        <f aca="false">IF(B159="","",IF(AND(B159&lt;&gt;"Empty",F159=""),"part missing; ","")&amp;IF(AND(F159&lt;&gt;"",J159=""),"pieces missing; ","")&amp;IF(AND(F159&lt;&gt;"",O159=""),"part not on the Parts sheet; ","")&amp;IF(AND(B159="Empty",OR(F159&lt;&gt;"",K159&lt;&gt;"")),"empty tray with parts; ","")&amp;IF(AND(B159="Loaded",K159&lt;&gt;""),"second part: type Mixed; ","")&amp;IF(AND(Q159&lt;&gt;"",N(Q159)&gt;1),"over 100 % of the spec load; ","")&amp;IF(N(R159)&gt;Settings!$B$10,"over the tray maximum (kg); ","")&amp;IF(AND(K159&lt;&gt;"",IFERROR(INDEX(Parts!$C$6:$C$45,MATCH(K159,Parts!$A$6:$A$45,0)),O159)&lt;&gt;O159),"different processes in one tray; ","")&amp;IF(AND(S159&lt;&gt;"",T159=""),"rework reason missing; ",""))</f>
        <v/>
      </c>
    </row>
    <row r="160" customFormat="false" ht="15" hidden="false" customHeight="false" outlineLevel="0" collapsed="false">
      <c r="A160" s="18" t="str">
        <f aca="false">IF(B160="","",COUNTA(B$7:B160))</f>
        <v/>
      </c>
      <c r="B160" s="19"/>
      <c r="C160" s="20"/>
      <c r="D160" s="19" t="str">
        <f aca="false">IF(B160="","",IF(D159="",Report!$B$12,D159))</f>
        <v/>
      </c>
      <c r="E160" s="22" t="str">
        <f aca="false">IF(B160="","",IF(C160&lt;&gt;"",C160,E159+D159/1440+SUMIFS(Holds!$F$7:$F$46,Holds!$B$7:$B$46,"&gt;="&amp;E159,Holds!$B$7:$B$46,"&lt;"&amp;E159+D159/1440)/1440))</f>
        <v/>
      </c>
      <c r="F160" s="19"/>
      <c r="G160" s="19"/>
      <c r="H160" s="19"/>
      <c r="I160" s="19"/>
      <c r="J160" s="19"/>
      <c r="K160" s="19"/>
      <c r="L160" s="19"/>
      <c r="M160" s="19"/>
      <c r="N160" s="19"/>
      <c r="O160" s="18" t="str">
        <f aca="false">IF(F160="","",IFERROR(INDEX(Parts!$C$6:$C$45,MATCH(F160,Parts!$A$6:$A$45,0)),""))</f>
        <v/>
      </c>
      <c r="P160" s="18" t="str">
        <f aca="false">IF(F160="","",IFERROR(INDEX(Parts!$E$6:$E$45,MATCH(F160,Parts!$A$6:$A$45,0)),""))</f>
        <v/>
      </c>
      <c r="Q160" s="23" t="str">
        <f aca="false">IF(OR(J160="",P160="",P160=0),"",J160/P160+IF(OR(N160="",K160=""),0,IFERROR(N160/INDEX(Parts!$E$6:$E$45,MATCH(K160,Parts!$A$6:$A$45,0)),0)))</f>
        <v/>
      </c>
      <c r="R160" s="24" t="str">
        <f aca="false">IF(B160="","",IF(J160="",0,J160*IFERROR(INDEX(Parts!$F$6:$F$45,MATCH(F160,Parts!$A$6:$A$45,0)),0))+IF(N160="",0,N160*IFERROR(INDEX(Parts!$F$6:$F$45,MATCH(K160,Parts!$A$6:$A$45,0)),0)))</f>
        <v/>
      </c>
      <c r="S160" s="19"/>
      <c r="T160" s="19"/>
      <c r="U160" s="18" t="str">
        <f aca="false">IF(B160="","",IF(F160="",Settings!$B$9,IFERROR(INDEX(Parts!$H$6:$H$45,MATCH(F160,Parts!$A$6:$A$45,0))+0,Settings!$B$9)))</f>
        <v/>
      </c>
      <c r="V160" s="22" t="str">
        <f aca="false">IF(B160="","",IF(INDEX($E$7:$E$336,ROW()-6+Settings!$B$7)&lt;&gt;"",INDEX($E$7:$E$336,ROW()-6+Settings!$B$7),E160+Settings!$B$7*D160/1440))</f>
        <v/>
      </c>
      <c r="W160" s="22" t="str">
        <f aca="false">IF(B160="","",IF(INDEX($E$7:$E$336,ROW()-6+Settings!$B$7+Settings!$B$8)&lt;&gt;"",INDEX($E$7:$E$336,ROW()-6+Settings!$B$7+Settings!$B$8),E160+(Settings!$B$7+Settings!$B$8)*D160/1440)+U160/1440)</f>
        <v/>
      </c>
      <c r="X160" s="18" t="str">
        <f aca="false">IF(B160="","",IF(INDEX($E$7:$E$336,ROW()-6+Settings!$B$7+Settings!$B$8)&lt;&gt;"","line","estimate"))</f>
        <v/>
      </c>
      <c r="Y160" s="25" t="str">
        <f aca="false">IF(B160="","",INT(W160-Settings!$B$6))</f>
        <v/>
      </c>
      <c r="Z160" s="19"/>
      <c r="AA160" s="18" t="str">
        <f aca="false">IF(B160="","",IF(AND(B160&lt;&gt;"Empty",F160=""),"part missing; ","")&amp;IF(AND(F160&lt;&gt;"",J160=""),"pieces missing; ","")&amp;IF(AND(F160&lt;&gt;"",O160=""),"part not on the Parts sheet; ","")&amp;IF(AND(B160="Empty",OR(F160&lt;&gt;"",K160&lt;&gt;"")),"empty tray with parts; ","")&amp;IF(AND(B160="Loaded",K160&lt;&gt;""),"second part: type Mixed; ","")&amp;IF(AND(Q160&lt;&gt;"",N(Q160)&gt;1),"over 100 % of the spec load; ","")&amp;IF(N(R160)&gt;Settings!$B$10,"over the tray maximum (kg); ","")&amp;IF(AND(K160&lt;&gt;"",IFERROR(INDEX(Parts!$C$6:$C$45,MATCH(K160,Parts!$A$6:$A$45,0)),O160)&lt;&gt;O160),"different processes in one tray; ","")&amp;IF(AND(S160&lt;&gt;"",T160=""),"rework reason missing; ",""))</f>
        <v/>
      </c>
    </row>
    <row r="161" customFormat="false" ht="15" hidden="false" customHeight="false" outlineLevel="0" collapsed="false">
      <c r="A161" s="18" t="str">
        <f aca="false">IF(B161="","",COUNTA(B$7:B161))</f>
        <v/>
      </c>
      <c r="B161" s="19"/>
      <c r="C161" s="20"/>
      <c r="D161" s="19" t="str">
        <f aca="false">IF(B161="","",IF(D160="",Report!$B$12,D160))</f>
        <v/>
      </c>
      <c r="E161" s="22" t="str">
        <f aca="false">IF(B161="","",IF(C161&lt;&gt;"",C161,E160+D160/1440+SUMIFS(Holds!$F$7:$F$46,Holds!$B$7:$B$46,"&gt;="&amp;E160,Holds!$B$7:$B$46,"&lt;"&amp;E160+D160/1440)/1440))</f>
        <v/>
      </c>
      <c r="F161" s="19"/>
      <c r="G161" s="19"/>
      <c r="H161" s="19"/>
      <c r="I161" s="19"/>
      <c r="J161" s="19"/>
      <c r="K161" s="19"/>
      <c r="L161" s="19"/>
      <c r="M161" s="19"/>
      <c r="N161" s="19"/>
      <c r="O161" s="18" t="str">
        <f aca="false">IF(F161="","",IFERROR(INDEX(Parts!$C$6:$C$45,MATCH(F161,Parts!$A$6:$A$45,0)),""))</f>
        <v/>
      </c>
      <c r="P161" s="18" t="str">
        <f aca="false">IF(F161="","",IFERROR(INDEX(Parts!$E$6:$E$45,MATCH(F161,Parts!$A$6:$A$45,0)),""))</f>
        <v/>
      </c>
      <c r="Q161" s="23" t="str">
        <f aca="false">IF(OR(J161="",P161="",P161=0),"",J161/P161+IF(OR(N161="",K161=""),0,IFERROR(N161/INDEX(Parts!$E$6:$E$45,MATCH(K161,Parts!$A$6:$A$45,0)),0)))</f>
        <v/>
      </c>
      <c r="R161" s="24" t="str">
        <f aca="false">IF(B161="","",IF(J161="",0,J161*IFERROR(INDEX(Parts!$F$6:$F$45,MATCH(F161,Parts!$A$6:$A$45,0)),0))+IF(N161="",0,N161*IFERROR(INDEX(Parts!$F$6:$F$45,MATCH(K161,Parts!$A$6:$A$45,0)),0)))</f>
        <v/>
      </c>
      <c r="S161" s="19"/>
      <c r="T161" s="19"/>
      <c r="U161" s="18" t="str">
        <f aca="false">IF(B161="","",IF(F161="",Settings!$B$9,IFERROR(INDEX(Parts!$H$6:$H$45,MATCH(F161,Parts!$A$6:$A$45,0))+0,Settings!$B$9)))</f>
        <v/>
      </c>
      <c r="V161" s="22" t="str">
        <f aca="false">IF(B161="","",IF(INDEX($E$7:$E$336,ROW()-6+Settings!$B$7)&lt;&gt;"",INDEX($E$7:$E$336,ROW()-6+Settings!$B$7),E161+Settings!$B$7*D161/1440))</f>
        <v/>
      </c>
      <c r="W161" s="22" t="str">
        <f aca="false">IF(B161="","",IF(INDEX($E$7:$E$336,ROW()-6+Settings!$B$7+Settings!$B$8)&lt;&gt;"",INDEX($E$7:$E$336,ROW()-6+Settings!$B$7+Settings!$B$8),E161+(Settings!$B$7+Settings!$B$8)*D161/1440)+U161/1440)</f>
        <v/>
      </c>
      <c r="X161" s="18" t="str">
        <f aca="false">IF(B161="","",IF(INDEX($E$7:$E$336,ROW()-6+Settings!$B$7+Settings!$B$8)&lt;&gt;"","line","estimate"))</f>
        <v/>
      </c>
      <c r="Y161" s="25" t="str">
        <f aca="false">IF(B161="","",INT(W161-Settings!$B$6))</f>
        <v/>
      </c>
      <c r="Z161" s="19"/>
      <c r="AA161" s="18" t="str">
        <f aca="false">IF(B161="","",IF(AND(B161&lt;&gt;"Empty",F161=""),"part missing; ","")&amp;IF(AND(F161&lt;&gt;"",J161=""),"pieces missing; ","")&amp;IF(AND(F161&lt;&gt;"",O161=""),"part not on the Parts sheet; ","")&amp;IF(AND(B161="Empty",OR(F161&lt;&gt;"",K161&lt;&gt;"")),"empty tray with parts; ","")&amp;IF(AND(B161="Loaded",K161&lt;&gt;""),"second part: type Mixed; ","")&amp;IF(AND(Q161&lt;&gt;"",N(Q161)&gt;1),"over 100 % of the spec load; ","")&amp;IF(N(R161)&gt;Settings!$B$10,"over the tray maximum (kg); ","")&amp;IF(AND(K161&lt;&gt;"",IFERROR(INDEX(Parts!$C$6:$C$45,MATCH(K161,Parts!$A$6:$A$45,0)),O161)&lt;&gt;O161),"different processes in one tray; ","")&amp;IF(AND(S161&lt;&gt;"",T161=""),"rework reason missing; ",""))</f>
        <v/>
      </c>
    </row>
    <row r="162" customFormat="false" ht="15" hidden="false" customHeight="false" outlineLevel="0" collapsed="false">
      <c r="A162" s="18" t="str">
        <f aca="false">IF(B162="","",COUNTA(B$7:B162))</f>
        <v/>
      </c>
      <c r="B162" s="19"/>
      <c r="C162" s="20"/>
      <c r="D162" s="19" t="str">
        <f aca="false">IF(B162="","",IF(D161="",Report!$B$12,D161))</f>
        <v/>
      </c>
      <c r="E162" s="22" t="str">
        <f aca="false">IF(B162="","",IF(C162&lt;&gt;"",C162,E161+D161/1440+SUMIFS(Holds!$F$7:$F$46,Holds!$B$7:$B$46,"&gt;="&amp;E161,Holds!$B$7:$B$46,"&lt;"&amp;E161+D161/1440)/1440))</f>
        <v/>
      </c>
      <c r="F162" s="19"/>
      <c r="G162" s="19"/>
      <c r="H162" s="19"/>
      <c r="I162" s="19"/>
      <c r="J162" s="19"/>
      <c r="K162" s="19"/>
      <c r="L162" s="19"/>
      <c r="M162" s="19"/>
      <c r="N162" s="19"/>
      <c r="O162" s="18" t="str">
        <f aca="false">IF(F162="","",IFERROR(INDEX(Parts!$C$6:$C$45,MATCH(F162,Parts!$A$6:$A$45,0)),""))</f>
        <v/>
      </c>
      <c r="P162" s="18" t="str">
        <f aca="false">IF(F162="","",IFERROR(INDEX(Parts!$E$6:$E$45,MATCH(F162,Parts!$A$6:$A$45,0)),""))</f>
        <v/>
      </c>
      <c r="Q162" s="23" t="str">
        <f aca="false">IF(OR(J162="",P162="",P162=0),"",J162/P162+IF(OR(N162="",K162=""),0,IFERROR(N162/INDEX(Parts!$E$6:$E$45,MATCH(K162,Parts!$A$6:$A$45,0)),0)))</f>
        <v/>
      </c>
      <c r="R162" s="24" t="str">
        <f aca="false">IF(B162="","",IF(J162="",0,J162*IFERROR(INDEX(Parts!$F$6:$F$45,MATCH(F162,Parts!$A$6:$A$45,0)),0))+IF(N162="",0,N162*IFERROR(INDEX(Parts!$F$6:$F$45,MATCH(K162,Parts!$A$6:$A$45,0)),0)))</f>
        <v/>
      </c>
      <c r="S162" s="19"/>
      <c r="T162" s="19"/>
      <c r="U162" s="18" t="str">
        <f aca="false">IF(B162="","",IF(F162="",Settings!$B$9,IFERROR(INDEX(Parts!$H$6:$H$45,MATCH(F162,Parts!$A$6:$A$45,0))+0,Settings!$B$9)))</f>
        <v/>
      </c>
      <c r="V162" s="22" t="str">
        <f aca="false">IF(B162="","",IF(INDEX($E$7:$E$336,ROW()-6+Settings!$B$7)&lt;&gt;"",INDEX($E$7:$E$336,ROW()-6+Settings!$B$7),E162+Settings!$B$7*D162/1440))</f>
        <v/>
      </c>
      <c r="W162" s="22" t="str">
        <f aca="false">IF(B162="","",IF(INDEX($E$7:$E$336,ROW()-6+Settings!$B$7+Settings!$B$8)&lt;&gt;"",INDEX($E$7:$E$336,ROW()-6+Settings!$B$7+Settings!$B$8),E162+(Settings!$B$7+Settings!$B$8)*D162/1440)+U162/1440)</f>
        <v/>
      </c>
      <c r="X162" s="18" t="str">
        <f aca="false">IF(B162="","",IF(INDEX($E$7:$E$336,ROW()-6+Settings!$B$7+Settings!$B$8)&lt;&gt;"","line","estimate"))</f>
        <v/>
      </c>
      <c r="Y162" s="25" t="str">
        <f aca="false">IF(B162="","",INT(W162-Settings!$B$6))</f>
        <v/>
      </c>
      <c r="Z162" s="19"/>
      <c r="AA162" s="18" t="str">
        <f aca="false">IF(B162="","",IF(AND(B162&lt;&gt;"Empty",F162=""),"part missing; ","")&amp;IF(AND(F162&lt;&gt;"",J162=""),"pieces missing; ","")&amp;IF(AND(F162&lt;&gt;"",O162=""),"part not on the Parts sheet; ","")&amp;IF(AND(B162="Empty",OR(F162&lt;&gt;"",K162&lt;&gt;"")),"empty tray with parts; ","")&amp;IF(AND(B162="Loaded",K162&lt;&gt;""),"second part: type Mixed; ","")&amp;IF(AND(Q162&lt;&gt;"",N(Q162)&gt;1),"over 100 % of the spec load; ","")&amp;IF(N(R162)&gt;Settings!$B$10,"over the tray maximum (kg); ","")&amp;IF(AND(K162&lt;&gt;"",IFERROR(INDEX(Parts!$C$6:$C$45,MATCH(K162,Parts!$A$6:$A$45,0)),O162)&lt;&gt;O162),"different processes in one tray; ","")&amp;IF(AND(S162&lt;&gt;"",T162=""),"rework reason missing; ",""))</f>
        <v/>
      </c>
    </row>
    <row r="163" customFormat="false" ht="15" hidden="false" customHeight="false" outlineLevel="0" collapsed="false">
      <c r="A163" s="18" t="str">
        <f aca="false">IF(B163="","",COUNTA(B$7:B163))</f>
        <v/>
      </c>
      <c r="B163" s="19"/>
      <c r="C163" s="20"/>
      <c r="D163" s="19" t="str">
        <f aca="false">IF(B163="","",IF(D162="",Report!$B$12,D162))</f>
        <v/>
      </c>
      <c r="E163" s="22" t="str">
        <f aca="false">IF(B163="","",IF(C163&lt;&gt;"",C163,E162+D162/1440+SUMIFS(Holds!$F$7:$F$46,Holds!$B$7:$B$46,"&gt;="&amp;E162,Holds!$B$7:$B$46,"&lt;"&amp;E162+D162/1440)/1440))</f>
        <v/>
      </c>
      <c r="F163" s="19"/>
      <c r="G163" s="19"/>
      <c r="H163" s="19"/>
      <c r="I163" s="19"/>
      <c r="J163" s="19"/>
      <c r="K163" s="19"/>
      <c r="L163" s="19"/>
      <c r="M163" s="19"/>
      <c r="N163" s="19"/>
      <c r="O163" s="18" t="str">
        <f aca="false">IF(F163="","",IFERROR(INDEX(Parts!$C$6:$C$45,MATCH(F163,Parts!$A$6:$A$45,0)),""))</f>
        <v/>
      </c>
      <c r="P163" s="18" t="str">
        <f aca="false">IF(F163="","",IFERROR(INDEX(Parts!$E$6:$E$45,MATCH(F163,Parts!$A$6:$A$45,0)),""))</f>
        <v/>
      </c>
      <c r="Q163" s="23" t="str">
        <f aca="false">IF(OR(J163="",P163="",P163=0),"",J163/P163+IF(OR(N163="",K163=""),0,IFERROR(N163/INDEX(Parts!$E$6:$E$45,MATCH(K163,Parts!$A$6:$A$45,0)),0)))</f>
        <v/>
      </c>
      <c r="R163" s="24" t="str">
        <f aca="false">IF(B163="","",IF(J163="",0,J163*IFERROR(INDEX(Parts!$F$6:$F$45,MATCH(F163,Parts!$A$6:$A$45,0)),0))+IF(N163="",0,N163*IFERROR(INDEX(Parts!$F$6:$F$45,MATCH(K163,Parts!$A$6:$A$45,0)),0)))</f>
        <v/>
      </c>
      <c r="S163" s="19"/>
      <c r="T163" s="19"/>
      <c r="U163" s="18" t="str">
        <f aca="false">IF(B163="","",IF(F163="",Settings!$B$9,IFERROR(INDEX(Parts!$H$6:$H$45,MATCH(F163,Parts!$A$6:$A$45,0))+0,Settings!$B$9)))</f>
        <v/>
      </c>
      <c r="V163" s="22" t="str">
        <f aca="false">IF(B163="","",IF(INDEX($E$7:$E$336,ROW()-6+Settings!$B$7)&lt;&gt;"",INDEX($E$7:$E$336,ROW()-6+Settings!$B$7),E163+Settings!$B$7*D163/1440))</f>
        <v/>
      </c>
      <c r="W163" s="22" t="str">
        <f aca="false">IF(B163="","",IF(INDEX($E$7:$E$336,ROW()-6+Settings!$B$7+Settings!$B$8)&lt;&gt;"",INDEX($E$7:$E$336,ROW()-6+Settings!$B$7+Settings!$B$8),E163+(Settings!$B$7+Settings!$B$8)*D163/1440)+U163/1440)</f>
        <v/>
      </c>
      <c r="X163" s="18" t="str">
        <f aca="false">IF(B163="","",IF(INDEX($E$7:$E$336,ROW()-6+Settings!$B$7+Settings!$B$8)&lt;&gt;"","line","estimate"))</f>
        <v/>
      </c>
      <c r="Y163" s="25" t="str">
        <f aca="false">IF(B163="","",INT(W163-Settings!$B$6))</f>
        <v/>
      </c>
      <c r="Z163" s="19"/>
      <c r="AA163" s="18" t="str">
        <f aca="false">IF(B163="","",IF(AND(B163&lt;&gt;"Empty",F163=""),"part missing; ","")&amp;IF(AND(F163&lt;&gt;"",J163=""),"pieces missing; ","")&amp;IF(AND(F163&lt;&gt;"",O163=""),"part not on the Parts sheet; ","")&amp;IF(AND(B163="Empty",OR(F163&lt;&gt;"",K163&lt;&gt;"")),"empty tray with parts; ","")&amp;IF(AND(B163="Loaded",K163&lt;&gt;""),"second part: type Mixed; ","")&amp;IF(AND(Q163&lt;&gt;"",N(Q163)&gt;1),"over 100 % of the spec load; ","")&amp;IF(N(R163)&gt;Settings!$B$10,"over the tray maximum (kg); ","")&amp;IF(AND(K163&lt;&gt;"",IFERROR(INDEX(Parts!$C$6:$C$45,MATCH(K163,Parts!$A$6:$A$45,0)),O163)&lt;&gt;O163),"different processes in one tray; ","")&amp;IF(AND(S163&lt;&gt;"",T163=""),"rework reason missing; ",""))</f>
        <v/>
      </c>
    </row>
    <row r="164" customFormat="false" ht="15" hidden="false" customHeight="false" outlineLevel="0" collapsed="false">
      <c r="A164" s="18" t="str">
        <f aca="false">IF(B164="","",COUNTA(B$7:B164))</f>
        <v/>
      </c>
      <c r="B164" s="19"/>
      <c r="C164" s="20"/>
      <c r="D164" s="19" t="str">
        <f aca="false">IF(B164="","",IF(D163="",Report!$B$12,D163))</f>
        <v/>
      </c>
      <c r="E164" s="22" t="str">
        <f aca="false">IF(B164="","",IF(C164&lt;&gt;"",C164,E163+D163/1440+SUMIFS(Holds!$F$7:$F$46,Holds!$B$7:$B$46,"&gt;="&amp;E163,Holds!$B$7:$B$46,"&lt;"&amp;E163+D163/1440)/1440))</f>
        <v/>
      </c>
      <c r="F164" s="19"/>
      <c r="G164" s="19"/>
      <c r="H164" s="19"/>
      <c r="I164" s="19"/>
      <c r="J164" s="19"/>
      <c r="K164" s="19"/>
      <c r="L164" s="19"/>
      <c r="M164" s="19"/>
      <c r="N164" s="19"/>
      <c r="O164" s="18" t="str">
        <f aca="false">IF(F164="","",IFERROR(INDEX(Parts!$C$6:$C$45,MATCH(F164,Parts!$A$6:$A$45,0)),""))</f>
        <v/>
      </c>
      <c r="P164" s="18" t="str">
        <f aca="false">IF(F164="","",IFERROR(INDEX(Parts!$E$6:$E$45,MATCH(F164,Parts!$A$6:$A$45,0)),""))</f>
        <v/>
      </c>
      <c r="Q164" s="23" t="str">
        <f aca="false">IF(OR(J164="",P164="",P164=0),"",J164/P164+IF(OR(N164="",K164=""),0,IFERROR(N164/INDEX(Parts!$E$6:$E$45,MATCH(K164,Parts!$A$6:$A$45,0)),0)))</f>
        <v/>
      </c>
      <c r="R164" s="24" t="str">
        <f aca="false">IF(B164="","",IF(J164="",0,J164*IFERROR(INDEX(Parts!$F$6:$F$45,MATCH(F164,Parts!$A$6:$A$45,0)),0))+IF(N164="",0,N164*IFERROR(INDEX(Parts!$F$6:$F$45,MATCH(K164,Parts!$A$6:$A$45,0)),0)))</f>
        <v/>
      </c>
      <c r="S164" s="19"/>
      <c r="T164" s="19"/>
      <c r="U164" s="18" t="str">
        <f aca="false">IF(B164="","",IF(F164="",Settings!$B$9,IFERROR(INDEX(Parts!$H$6:$H$45,MATCH(F164,Parts!$A$6:$A$45,0))+0,Settings!$B$9)))</f>
        <v/>
      </c>
      <c r="V164" s="22" t="str">
        <f aca="false">IF(B164="","",IF(INDEX($E$7:$E$336,ROW()-6+Settings!$B$7)&lt;&gt;"",INDEX($E$7:$E$336,ROW()-6+Settings!$B$7),E164+Settings!$B$7*D164/1440))</f>
        <v/>
      </c>
      <c r="W164" s="22" t="str">
        <f aca="false">IF(B164="","",IF(INDEX($E$7:$E$336,ROW()-6+Settings!$B$7+Settings!$B$8)&lt;&gt;"",INDEX($E$7:$E$336,ROW()-6+Settings!$B$7+Settings!$B$8),E164+(Settings!$B$7+Settings!$B$8)*D164/1440)+U164/1440)</f>
        <v/>
      </c>
      <c r="X164" s="18" t="str">
        <f aca="false">IF(B164="","",IF(INDEX($E$7:$E$336,ROW()-6+Settings!$B$7+Settings!$B$8)&lt;&gt;"","line","estimate"))</f>
        <v/>
      </c>
      <c r="Y164" s="25" t="str">
        <f aca="false">IF(B164="","",INT(W164-Settings!$B$6))</f>
        <v/>
      </c>
      <c r="Z164" s="19"/>
      <c r="AA164" s="18" t="str">
        <f aca="false">IF(B164="","",IF(AND(B164&lt;&gt;"Empty",F164=""),"part missing; ","")&amp;IF(AND(F164&lt;&gt;"",J164=""),"pieces missing; ","")&amp;IF(AND(F164&lt;&gt;"",O164=""),"part not on the Parts sheet; ","")&amp;IF(AND(B164="Empty",OR(F164&lt;&gt;"",K164&lt;&gt;"")),"empty tray with parts; ","")&amp;IF(AND(B164="Loaded",K164&lt;&gt;""),"second part: type Mixed; ","")&amp;IF(AND(Q164&lt;&gt;"",N(Q164)&gt;1),"over 100 % of the spec load; ","")&amp;IF(N(R164)&gt;Settings!$B$10,"over the tray maximum (kg); ","")&amp;IF(AND(K164&lt;&gt;"",IFERROR(INDEX(Parts!$C$6:$C$45,MATCH(K164,Parts!$A$6:$A$45,0)),O164)&lt;&gt;O164),"different processes in one tray; ","")&amp;IF(AND(S164&lt;&gt;"",T164=""),"rework reason missing; ",""))</f>
        <v/>
      </c>
    </row>
    <row r="165" customFormat="false" ht="15" hidden="false" customHeight="false" outlineLevel="0" collapsed="false">
      <c r="A165" s="18" t="str">
        <f aca="false">IF(B165="","",COUNTA(B$7:B165))</f>
        <v/>
      </c>
      <c r="B165" s="19"/>
      <c r="C165" s="20"/>
      <c r="D165" s="19" t="str">
        <f aca="false">IF(B165="","",IF(D164="",Report!$B$12,D164))</f>
        <v/>
      </c>
      <c r="E165" s="22" t="str">
        <f aca="false">IF(B165="","",IF(C165&lt;&gt;"",C165,E164+D164/1440+SUMIFS(Holds!$F$7:$F$46,Holds!$B$7:$B$46,"&gt;="&amp;E164,Holds!$B$7:$B$46,"&lt;"&amp;E164+D164/1440)/1440))</f>
        <v/>
      </c>
      <c r="F165" s="19"/>
      <c r="G165" s="19"/>
      <c r="H165" s="19"/>
      <c r="I165" s="19"/>
      <c r="J165" s="19"/>
      <c r="K165" s="19"/>
      <c r="L165" s="19"/>
      <c r="M165" s="19"/>
      <c r="N165" s="19"/>
      <c r="O165" s="18" t="str">
        <f aca="false">IF(F165="","",IFERROR(INDEX(Parts!$C$6:$C$45,MATCH(F165,Parts!$A$6:$A$45,0)),""))</f>
        <v/>
      </c>
      <c r="P165" s="18" t="str">
        <f aca="false">IF(F165="","",IFERROR(INDEX(Parts!$E$6:$E$45,MATCH(F165,Parts!$A$6:$A$45,0)),""))</f>
        <v/>
      </c>
      <c r="Q165" s="23" t="str">
        <f aca="false">IF(OR(J165="",P165="",P165=0),"",J165/P165+IF(OR(N165="",K165=""),0,IFERROR(N165/INDEX(Parts!$E$6:$E$45,MATCH(K165,Parts!$A$6:$A$45,0)),0)))</f>
        <v/>
      </c>
      <c r="R165" s="24" t="str">
        <f aca="false">IF(B165="","",IF(J165="",0,J165*IFERROR(INDEX(Parts!$F$6:$F$45,MATCH(F165,Parts!$A$6:$A$45,0)),0))+IF(N165="",0,N165*IFERROR(INDEX(Parts!$F$6:$F$45,MATCH(K165,Parts!$A$6:$A$45,0)),0)))</f>
        <v/>
      </c>
      <c r="S165" s="19"/>
      <c r="T165" s="19"/>
      <c r="U165" s="18" t="str">
        <f aca="false">IF(B165="","",IF(F165="",Settings!$B$9,IFERROR(INDEX(Parts!$H$6:$H$45,MATCH(F165,Parts!$A$6:$A$45,0))+0,Settings!$B$9)))</f>
        <v/>
      </c>
      <c r="V165" s="22" t="str">
        <f aca="false">IF(B165="","",IF(INDEX($E$7:$E$336,ROW()-6+Settings!$B$7)&lt;&gt;"",INDEX($E$7:$E$336,ROW()-6+Settings!$B$7),E165+Settings!$B$7*D165/1440))</f>
        <v/>
      </c>
      <c r="W165" s="22" t="str">
        <f aca="false">IF(B165="","",IF(INDEX($E$7:$E$336,ROW()-6+Settings!$B$7+Settings!$B$8)&lt;&gt;"",INDEX($E$7:$E$336,ROW()-6+Settings!$B$7+Settings!$B$8),E165+(Settings!$B$7+Settings!$B$8)*D165/1440)+U165/1440)</f>
        <v/>
      </c>
      <c r="X165" s="18" t="str">
        <f aca="false">IF(B165="","",IF(INDEX($E$7:$E$336,ROW()-6+Settings!$B$7+Settings!$B$8)&lt;&gt;"","line","estimate"))</f>
        <v/>
      </c>
      <c r="Y165" s="25" t="str">
        <f aca="false">IF(B165="","",INT(W165-Settings!$B$6))</f>
        <v/>
      </c>
      <c r="Z165" s="19"/>
      <c r="AA165" s="18" t="str">
        <f aca="false">IF(B165="","",IF(AND(B165&lt;&gt;"Empty",F165=""),"part missing; ","")&amp;IF(AND(F165&lt;&gt;"",J165=""),"pieces missing; ","")&amp;IF(AND(F165&lt;&gt;"",O165=""),"part not on the Parts sheet; ","")&amp;IF(AND(B165="Empty",OR(F165&lt;&gt;"",K165&lt;&gt;"")),"empty tray with parts; ","")&amp;IF(AND(B165="Loaded",K165&lt;&gt;""),"second part: type Mixed; ","")&amp;IF(AND(Q165&lt;&gt;"",N(Q165)&gt;1),"over 100 % of the spec load; ","")&amp;IF(N(R165)&gt;Settings!$B$10,"over the tray maximum (kg); ","")&amp;IF(AND(K165&lt;&gt;"",IFERROR(INDEX(Parts!$C$6:$C$45,MATCH(K165,Parts!$A$6:$A$45,0)),O165)&lt;&gt;O165),"different processes in one tray; ","")&amp;IF(AND(S165&lt;&gt;"",T165=""),"rework reason missing; ",""))</f>
        <v/>
      </c>
    </row>
    <row r="166" customFormat="false" ht="15" hidden="false" customHeight="false" outlineLevel="0" collapsed="false">
      <c r="A166" s="18" t="str">
        <f aca="false">IF(B166="","",COUNTA(B$7:B166))</f>
        <v/>
      </c>
      <c r="B166" s="19"/>
      <c r="C166" s="20"/>
      <c r="D166" s="19" t="str">
        <f aca="false">IF(B166="","",IF(D165="",Report!$B$12,D165))</f>
        <v/>
      </c>
      <c r="E166" s="22" t="str">
        <f aca="false">IF(B166="","",IF(C166&lt;&gt;"",C166,E165+D165/1440+SUMIFS(Holds!$F$7:$F$46,Holds!$B$7:$B$46,"&gt;="&amp;E165,Holds!$B$7:$B$46,"&lt;"&amp;E165+D165/1440)/1440))</f>
        <v/>
      </c>
      <c r="F166" s="19"/>
      <c r="G166" s="19"/>
      <c r="H166" s="19"/>
      <c r="I166" s="19"/>
      <c r="J166" s="19"/>
      <c r="K166" s="19"/>
      <c r="L166" s="19"/>
      <c r="M166" s="19"/>
      <c r="N166" s="19"/>
      <c r="O166" s="18" t="str">
        <f aca="false">IF(F166="","",IFERROR(INDEX(Parts!$C$6:$C$45,MATCH(F166,Parts!$A$6:$A$45,0)),""))</f>
        <v/>
      </c>
      <c r="P166" s="18" t="str">
        <f aca="false">IF(F166="","",IFERROR(INDEX(Parts!$E$6:$E$45,MATCH(F166,Parts!$A$6:$A$45,0)),""))</f>
        <v/>
      </c>
      <c r="Q166" s="23" t="str">
        <f aca="false">IF(OR(J166="",P166="",P166=0),"",J166/P166+IF(OR(N166="",K166=""),0,IFERROR(N166/INDEX(Parts!$E$6:$E$45,MATCH(K166,Parts!$A$6:$A$45,0)),0)))</f>
        <v/>
      </c>
      <c r="R166" s="24" t="str">
        <f aca="false">IF(B166="","",IF(J166="",0,J166*IFERROR(INDEX(Parts!$F$6:$F$45,MATCH(F166,Parts!$A$6:$A$45,0)),0))+IF(N166="",0,N166*IFERROR(INDEX(Parts!$F$6:$F$45,MATCH(K166,Parts!$A$6:$A$45,0)),0)))</f>
        <v/>
      </c>
      <c r="S166" s="19"/>
      <c r="T166" s="19"/>
      <c r="U166" s="18" t="str">
        <f aca="false">IF(B166="","",IF(F166="",Settings!$B$9,IFERROR(INDEX(Parts!$H$6:$H$45,MATCH(F166,Parts!$A$6:$A$45,0))+0,Settings!$B$9)))</f>
        <v/>
      </c>
      <c r="V166" s="22" t="str">
        <f aca="false">IF(B166="","",IF(INDEX($E$7:$E$336,ROW()-6+Settings!$B$7)&lt;&gt;"",INDEX($E$7:$E$336,ROW()-6+Settings!$B$7),E166+Settings!$B$7*D166/1440))</f>
        <v/>
      </c>
      <c r="W166" s="22" t="str">
        <f aca="false">IF(B166="","",IF(INDEX($E$7:$E$336,ROW()-6+Settings!$B$7+Settings!$B$8)&lt;&gt;"",INDEX($E$7:$E$336,ROW()-6+Settings!$B$7+Settings!$B$8),E166+(Settings!$B$7+Settings!$B$8)*D166/1440)+U166/1440)</f>
        <v/>
      </c>
      <c r="X166" s="18" t="str">
        <f aca="false">IF(B166="","",IF(INDEX($E$7:$E$336,ROW()-6+Settings!$B$7+Settings!$B$8)&lt;&gt;"","line","estimate"))</f>
        <v/>
      </c>
      <c r="Y166" s="25" t="str">
        <f aca="false">IF(B166="","",INT(W166-Settings!$B$6))</f>
        <v/>
      </c>
      <c r="Z166" s="19"/>
      <c r="AA166" s="18" t="str">
        <f aca="false">IF(B166="","",IF(AND(B166&lt;&gt;"Empty",F166=""),"part missing; ","")&amp;IF(AND(F166&lt;&gt;"",J166=""),"pieces missing; ","")&amp;IF(AND(F166&lt;&gt;"",O166=""),"part not on the Parts sheet; ","")&amp;IF(AND(B166="Empty",OR(F166&lt;&gt;"",K166&lt;&gt;"")),"empty tray with parts; ","")&amp;IF(AND(B166="Loaded",K166&lt;&gt;""),"second part: type Mixed; ","")&amp;IF(AND(Q166&lt;&gt;"",N(Q166)&gt;1),"over 100 % of the spec load; ","")&amp;IF(N(R166)&gt;Settings!$B$10,"over the tray maximum (kg); ","")&amp;IF(AND(K166&lt;&gt;"",IFERROR(INDEX(Parts!$C$6:$C$45,MATCH(K166,Parts!$A$6:$A$45,0)),O166)&lt;&gt;O166),"different processes in one tray; ","")&amp;IF(AND(S166&lt;&gt;"",T166=""),"rework reason missing; ",""))</f>
        <v/>
      </c>
    </row>
    <row r="167" customFormat="false" ht="15" hidden="false" customHeight="false" outlineLevel="0" collapsed="false">
      <c r="A167" s="18" t="str">
        <f aca="false">IF(B167="","",COUNTA(B$7:B167))</f>
        <v/>
      </c>
      <c r="B167" s="19"/>
      <c r="C167" s="20"/>
      <c r="D167" s="19" t="str">
        <f aca="false">IF(B167="","",IF(D166="",Report!$B$12,D166))</f>
        <v/>
      </c>
      <c r="E167" s="22" t="str">
        <f aca="false">IF(B167="","",IF(C167&lt;&gt;"",C167,E166+D166/1440+SUMIFS(Holds!$F$7:$F$46,Holds!$B$7:$B$46,"&gt;="&amp;E166,Holds!$B$7:$B$46,"&lt;"&amp;E166+D166/1440)/1440))</f>
        <v/>
      </c>
      <c r="F167" s="19"/>
      <c r="G167" s="19"/>
      <c r="H167" s="19"/>
      <c r="I167" s="19"/>
      <c r="J167" s="19"/>
      <c r="K167" s="19"/>
      <c r="L167" s="19"/>
      <c r="M167" s="19"/>
      <c r="N167" s="19"/>
      <c r="O167" s="18" t="str">
        <f aca="false">IF(F167="","",IFERROR(INDEX(Parts!$C$6:$C$45,MATCH(F167,Parts!$A$6:$A$45,0)),""))</f>
        <v/>
      </c>
      <c r="P167" s="18" t="str">
        <f aca="false">IF(F167="","",IFERROR(INDEX(Parts!$E$6:$E$45,MATCH(F167,Parts!$A$6:$A$45,0)),""))</f>
        <v/>
      </c>
      <c r="Q167" s="23" t="str">
        <f aca="false">IF(OR(J167="",P167="",P167=0),"",J167/P167+IF(OR(N167="",K167=""),0,IFERROR(N167/INDEX(Parts!$E$6:$E$45,MATCH(K167,Parts!$A$6:$A$45,0)),0)))</f>
        <v/>
      </c>
      <c r="R167" s="24" t="str">
        <f aca="false">IF(B167="","",IF(J167="",0,J167*IFERROR(INDEX(Parts!$F$6:$F$45,MATCH(F167,Parts!$A$6:$A$45,0)),0))+IF(N167="",0,N167*IFERROR(INDEX(Parts!$F$6:$F$45,MATCH(K167,Parts!$A$6:$A$45,0)),0)))</f>
        <v/>
      </c>
      <c r="S167" s="19"/>
      <c r="T167" s="19"/>
      <c r="U167" s="18" t="str">
        <f aca="false">IF(B167="","",IF(F167="",Settings!$B$9,IFERROR(INDEX(Parts!$H$6:$H$45,MATCH(F167,Parts!$A$6:$A$45,0))+0,Settings!$B$9)))</f>
        <v/>
      </c>
      <c r="V167" s="22" t="str">
        <f aca="false">IF(B167="","",IF(INDEX($E$7:$E$336,ROW()-6+Settings!$B$7)&lt;&gt;"",INDEX($E$7:$E$336,ROW()-6+Settings!$B$7),E167+Settings!$B$7*D167/1440))</f>
        <v/>
      </c>
      <c r="W167" s="22" t="str">
        <f aca="false">IF(B167="","",IF(INDEX($E$7:$E$336,ROW()-6+Settings!$B$7+Settings!$B$8)&lt;&gt;"",INDEX($E$7:$E$336,ROW()-6+Settings!$B$7+Settings!$B$8),E167+(Settings!$B$7+Settings!$B$8)*D167/1440)+U167/1440)</f>
        <v/>
      </c>
      <c r="X167" s="18" t="str">
        <f aca="false">IF(B167="","",IF(INDEX($E$7:$E$336,ROW()-6+Settings!$B$7+Settings!$B$8)&lt;&gt;"","line","estimate"))</f>
        <v/>
      </c>
      <c r="Y167" s="25" t="str">
        <f aca="false">IF(B167="","",INT(W167-Settings!$B$6))</f>
        <v/>
      </c>
      <c r="Z167" s="19"/>
      <c r="AA167" s="18" t="str">
        <f aca="false">IF(B167="","",IF(AND(B167&lt;&gt;"Empty",F167=""),"part missing; ","")&amp;IF(AND(F167&lt;&gt;"",J167=""),"pieces missing; ","")&amp;IF(AND(F167&lt;&gt;"",O167=""),"part not on the Parts sheet; ","")&amp;IF(AND(B167="Empty",OR(F167&lt;&gt;"",K167&lt;&gt;"")),"empty tray with parts; ","")&amp;IF(AND(B167="Loaded",K167&lt;&gt;""),"second part: type Mixed; ","")&amp;IF(AND(Q167&lt;&gt;"",N(Q167)&gt;1),"over 100 % of the spec load; ","")&amp;IF(N(R167)&gt;Settings!$B$10,"over the tray maximum (kg); ","")&amp;IF(AND(K167&lt;&gt;"",IFERROR(INDEX(Parts!$C$6:$C$45,MATCH(K167,Parts!$A$6:$A$45,0)),O167)&lt;&gt;O167),"different processes in one tray; ","")&amp;IF(AND(S167&lt;&gt;"",T167=""),"rework reason missing; ",""))</f>
        <v/>
      </c>
    </row>
    <row r="168" customFormat="false" ht="15" hidden="false" customHeight="false" outlineLevel="0" collapsed="false">
      <c r="A168" s="18" t="str">
        <f aca="false">IF(B168="","",COUNTA(B$7:B168))</f>
        <v/>
      </c>
      <c r="B168" s="19"/>
      <c r="C168" s="20"/>
      <c r="D168" s="19" t="str">
        <f aca="false">IF(B168="","",IF(D167="",Report!$B$12,D167))</f>
        <v/>
      </c>
      <c r="E168" s="22" t="str">
        <f aca="false">IF(B168="","",IF(C168&lt;&gt;"",C168,E167+D167/1440+SUMIFS(Holds!$F$7:$F$46,Holds!$B$7:$B$46,"&gt;="&amp;E167,Holds!$B$7:$B$46,"&lt;"&amp;E167+D167/1440)/1440))</f>
        <v/>
      </c>
      <c r="F168" s="19"/>
      <c r="G168" s="19"/>
      <c r="H168" s="19"/>
      <c r="I168" s="19"/>
      <c r="J168" s="19"/>
      <c r="K168" s="19"/>
      <c r="L168" s="19"/>
      <c r="M168" s="19"/>
      <c r="N168" s="19"/>
      <c r="O168" s="18" t="str">
        <f aca="false">IF(F168="","",IFERROR(INDEX(Parts!$C$6:$C$45,MATCH(F168,Parts!$A$6:$A$45,0)),""))</f>
        <v/>
      </c>
      <c r="P168" s="18" t="str">
        <f aca="false">IF(F168="","",IFERROR(INDEX(Parts!$E$6:$E$45,MATCH(F168,Parts!$A$6:$A$45,0)),""))</f>
        <v/>
      </c>
      <c r="Q168" s="23" t="str">
        <f aca="false">IF(OR(J168="",P168="",P168=0),"",J168/P168+IF(OR(N168="",K168=""),0,IFERROR(N168/INDEX(Parts!$E$6:$E$45,MATCH(K168,Parts!$A$6:$A$45,0)),0)))</f>
        <v/>
      </c>
      <c r="R168" s="24" t="str">
        <f aca="false">IF(B168="","",IF(J168="",0,J168*IFERROR(INDEX(Parts!$F$6:$F$45,MATCH(F168,Parts!$A$6:$A$45,0)),0))+IF(N168="",0,N168*IFERROR(INDEX(Parts!$F$6:$F$45,MATCH(K168,Parts!$A$6:$A$45,0)),0)))</f>
        <v/>
      </c>
      <c r="S168" s="19"/>
      <c r="T168" s="19"/>
      <c r="U168" s="18" t="str">
        <f aca="false">IF(B168="","",IF(F168="",Settings!$B$9,IFERROR(INDEX(Parts!$H$6:$H$45,MATCH(F168,Parts!$A$6:$A$45,0))+0,Settings!$B$9)))</f>
        <v/>
      </c>
      <c r="V168" s="22" t="str">
        <f aca="false">IF(B168="","",IF(INDEX($E$7:$E$336,ROW()-6+Settings!$B$7)&lt;&gt;"",INDEX($E$7:$E$336,ROW()-6+Settings!$B$7),E168+Settings!$B$7*D168/1440))</f>
        <v/>
      </c>
      <c r="W168" s="22" t="str">
        <f aca="false">IF(B168="","",IF(INDEX($E$7:$E$336,ROW()-6+Settings!$B$7+Settings!$B$8)&lt;&gt;"",INDEX($E$7:$E$336,ROW()-6+Settings!$B$7+Settings!$B$8),E168+(Settings!$B$7+Settings!$B$8)*D168/1440)+U168/1440)</f>
        <v/>
      </c>
      <c r="X168" s="18" t="str">
        <f aca="false">IF(B168="","",IF(INDEX($E$7:$E$336,ROW()-6+Settings!$B$7+Settings!$B$8)&lt;&gt;"","line","estimate"))</f>
        <v/>
      </c>
      <c r="Y168" s="25" t="str">
        <f aca="false">IF(B168="","",INT(W168-Settings!$B$6))</f>
        <v/>
      </c>
      <c r="Z168" s="19"/>
      <c r="AA168" s="18" t="str">
        <f aca="false">IF(B168="","",IF(AND(B168&lt;&gt;"Empty",F168=""),"part missing; ","")&amp;IF(AND(F168&lt;&gt;"",J168=""),"pieces missing; ","")&amp;IF(AND(F168&lt;&gt;"",O168=""),"part not on the Parts sheet; ","")&amp;IF(AND(B168="Empty",OR(F168&lt;&gt;"",K168&lt;&gt;"")),"empty tray with parts; ","")&amp;IF(AND(B168="Loaded",K168&lt;&gt;""),"second part: type Mixed; ","")&amp;IF(AND(Q168&lt;&gt;"",N(Q168)&gt;1),"over 100 % of the spec load; ","")&amp;IF(N(R168)&gt;Settings!$B$10,"over the tray maximum (kg); ","")&amp;IF(AND(K168&lt;&gt;"",IFERROR(INDEX(Parts!$C$6:$C$45,MATCH(K168,Parts!$A$6:$A$45,0)),O168)&lt;&gt;O168),"different processes in one tray; ","")&amp;IF(AND(S168&lt;&gt;"",T168=""),"rework reason missing; ",""))</f>
        <v/>
      </c>
    </row>
    <row r="169" customFormat="false" ht="15" hidden="false" customHeight="false" outlineLevel="0" collapsed="false">
      <c r="A169" s="18" t="str">
        <f aca="false">IF(B169="","",COUNTA(B$7:B169))</f>
        <v/>
      </c>
      <c r="B169" s="19"/>
      <c r="C169" s="20"/>
      <c r="D169" s="19" t="str">
        <f aca="false">IF(B169="","",IF(D168="",Report!$B$12,D168))</f>
        <v/>
      </c>
      <c r="E169" s="22" t="str">
        <f aca="false">IF(B169="","",IF(C169&lt;&gt;"",C169,E168+D168/1440+SUMIFS(Holds!$F$7:$F$46,Holds!$B$7:$B$46,"&gt;="&amp;E168,Holds!$B$7:$B$46,"&lt;"&amp;E168+D168/1440)/1440))</f>
        <v/>
      </c>
      <c r="F169" s="19"/>
      <c r="G169" s="19"/>
      <c r="H169" s="19"/>
      <c r="I169" s="19"/>
      <c r="J169" s="19"/>
      <c r="K169" s="19"/>
      <c r="L169" s="19"/>
      <c r="M169" s="19"/>
      <c r="N169" s="19"/>
      <c r="O169" s="18" t="str">
        <f aca="false">IF(F169="","",IFERROR(INDEX(Parts!$C$6:$C$45,MATCH(F169,Parts!$A$6:$A$45,0)),""))</f>
        <v/>
      </c>
      <c r="P169" s="18" t="str">
        <f aca="false">IF(F169="","",IFERROR(INDEX(Parts!$E$6:$E$45,MATCH(F169,Parts!$A$6:$A$45,0)),""))</f>
        <v/>
      </c>
      <c r="Q169" s="23" t="str">
        <f aca="false">IF(OR(J169="",P169="",P169=0),"",J169/P169+IF(OR(N169="",K169=""),0,IFERROR(N169/INDEX(Parts!$E$6:$E$45,MATCH(K169,Parts!$A$6:$A$45,0)),0)))</f>
        <v/>
      </c>
      <c r="R169" s="24" t="str">
        <f aca="false">IF(B169="","",IF(J169="",0,J169*IFERROR(INDEX(Parts!$F$6:$F$45,MATCH(F169,Parts!$A$6:$A$45,0)),0))+IF(N169="",0,N169*IFERROR(INDEX(Parts!$F$6:$F$45,MATCH(K169,Parts!$A$6:$A$45,0)),0)))</f>
        <v/>
      </c>
      <c r="S169" s="19"/>
      <c r="T169" s="19"/>
      <c r="U169" s="18" t="str">
        <f aca="false">IF(B169="","",IF(F169="",Settings!$B$9,IFERROR(INDEX(Parts!$H$6:$H$45,MATCH(F169,Parts!$A$6:$A$45,0))+0,Settings!$B$9)))</f>
        <v/>
      </c>
      <c r="V169" s="22" t="str">
        <f aca="false">IF(B169="","",IF(INDEX($E$7:$E$336,ROW()-6+Settings!$B$7)&lt;&gt;"",INDEX($E$7:$E$336,ROW()-6+Settings!$B$7),E169+Settings!$B$7*D169/1440))</f>
        <v/>
      </c>
      <c r="W169" s="22" t="str">
        <f aca="false">IF(B169="","",IF(INDEX($E$7:$E$336,ROW()-6+Settings!$B$7+Settings!$B$8)&lt;&gt;"",INDEX($E$7:$E$336,ROW()-6+Settings!$B$7+Settings!$B$8),E169+(Settings!$B$7+Settings!$B$8)*D169/1440)+U169/1440)</f>
        <v/>
      </c>
      <c r="X169" s="18" t="str">
        <f aca="false">IF(B169="","",IF(INDEX($E$7:$E$336,ROW()-6+Settings!$B$7+Settings!$B$8)&lt;&gt;"","line","estimate"))</f>
        <v/>
      </c>
      <c r="Y169" s="25" t="str">
        <f aca="false">IF(B169="","",INT(W169-Settings!$B$6))</f>
        <v/>
      </c>
      <c r="Z169" s="19"/>
      <c r="AA169" s="18" t="str">
        <f aca="false">IF(B169="","",IF(AND(B169&lt;&gt;"Empty",F169=""),"part missing; ","")&amp;IF(AND(F169&lt;&gt;"",J169=""),"pieces missing; ","")&amp;IF(AND(F169&lt;&gt;"",O169=""),"part not on the Parts sheet; ","")&amp;IF(AND(B169="Empty",OR(F169&lt;&gt;"",K169&lt;&gt;"")),"empty tray with parts; ","")&amp;IF(AND(B169="Loaded",K169&lt;&gt;""),"second part: type Mixed; ","")&amp;IF(AND(Q169&lt;&gt;"",N(Q169)&gt;1),"over 100 % of the spec load; ","")&amp;IF(N(R169)&gt;Settings!$B$10,"over the tray maximum (kg); ","")&amp;IF(AND(K169&lt;&gt;"",IFERROR(INDEX(Parts!$C$6:$C$45,MATCH(K169,Parts!$A$6:$A$45,0)),O169)&lt;&gt;O169),"different processes in one tray; ","")&amp;IF(AND(S169&lt;&gt;"",T169=""),"rework reason missing; ",""))</f>
        <v/>
      </c>
    </row>
    <row r="170" customFormat="false" ht="15" hidden="false" customHeight="false" outlineLevel="0" collapsed="false">
      <c r="A170" s="18" t="str">
        <f aca="false">IF(B170="","",COUNTA(B$7:B170))</f>
        <v/>
      </c>
      <c r="B170" s="19"/>
      <c r="C170" s="20"/>
      <c r="D170" s="19" t="str">
        <f aca="false">IF(B170="","",IF(D169="",Report!$B$12,D169))</f>
        <v/>
      </c>
      <c r="E170" s="22" t="str">
        <f aca="false">IF(B170="","",IF(C170&lt;&gt;"",C170,E169+D169/1440+SUMIFS(Holds!$F$7:$F$46,Holds!$B$7:$B$46,"&gt;="&amp;E169,Holds!$B$7:$B$46,"&lt;"&amp;E169+D169/1440)/1440))</f>
        <v/>
      </c>
      <c r="F170" s="19"/>
      <c r="G170" s="19"/>
      <c r="H170" s="19"/>
      <c r="I170" s="19"/>
      <c r="J170" s="19"/>
      <c r="K170" s="19"/>
      <c r="L170" s="19"/>
      <c r="M170" s="19"/>
      <c r="N170" s="19"/>
      <c r="O170" s="18" t="str">
        <f aca="false">IF(F170="","",IFERROR(INDEX(Parts!$C$6:$C$45,MATCH(F170,Parts!$A$6:$A$45,0)),""))</f>
        <v/>
      </c>
      <c r="P170" s="18" t="str">
        <f aca="false">IF(F170="","",IFERROR(INDEX(Parts!$E$6:$E$45,MATCH(F170,Parts!$A$6:$A$45,0)),""))</f>
        <v/>
      </c>
      <c r="Q170" s="23" t="str">
        <f aca="false">IF(OR(J170="",P170="",P170=0),"",J170/P170+IF(OR(N170="",K170=""),0,IFERROR(N170/INDEX(Parts!$E$6:$E$45,MATCH(K170,Parts!$A$6:$A$45,0)),0)))</f>
        <v/>
      </c>
      <c r="R170" s="24" t="str">
        <f aca="false">IF(B170="","",IF(J170="",0,J170*IFERROR(INDEX(Parts!$F$6:$F$45,MATCH(F170,Parts!$A$6:$A$45,0)),0))+IF(N170="",0,N170*IFERROR(INDEX(Parts!$F$6:$F$45,MATCH(K170,Parts!$A$6:$A$45,0)),0)))</f>
        <v/>
      </c>
      <c r="S170" s="19"/>
      <c r="T170" s="19"/>
      <c r="U170" s="18" t="str">
        <f aca="false">IF(B170="","",IF(F170="",Settings!$B$9,IFERROR(INDEX(Parts!$H$6:$H$45,MATCH(F170,Parts!$A$6:$A$45,0))+0,Settings!$B$9)))</f>
        <v/>
      </c>
      <c r="V170" s="22" t="str">
        <f aca="false">IF(B170="","",IF(INDEX($E$7:$E$336,ROW()-6+Settings!$B$7)&lt;&gt;"",INDEX($E$7:$E$336,ROW()-6+Settings!$B$7),E170+Settings!$B$7*D170/1440))</f>
        <v/>
      </c>
      <c r="W170" s="22" t="str">
        <f aca="false">IF(B170="","",IF(INDEX($E$7:$E$336,ROW()-6+Settings!$B$7+Settings!$B$8)&lt;&gt;"",INDEX($E$7:$E$336,ROW()-6+Settings!$B$7+Settings!$B$8),E170+(Settings!$B$7+Settings!$B$8)*D170/1440)+U170/1440)</f>
        <v/>
      </c>
      <c r="X170" s="18" t="str">
        <f aca="false">IF(B170="","",IF(INDEX($E$7:$E$336,ROW()-6+Settings!$B$7+Settings!$B$8)&lt;&gt;"","line","estimate"))</f>
        <v/>
      </c>
      <c r="Y170" s="25" t="str">
        <f aca="false">IF(B170="","",INT(W170-Settings!$B$6))</f>
        <v/>
      </c>
      <c r="Z170" s="19"/>
      <c r="AA170" s="18" t="str">
        <f aca="false">IF(B170="","",IF(AND(B170&lt;&gt;"Empty",F170=""),"part missing; ","")&amp;IF(AND(F170&lt;&gt;"",J170=""),"pieces missing; ","")&amp;IF(AND(F170&lt;&gt;"",O170=""),"part not on the Parts sheet; ","")&amp;IF(AND(B170="Empty",OR(F170&lt;&gt;"",K170&lt;&gt;"")),"empty tray with parts; ","")&amp;IF(AND(B170="Loaded",K170&lt;&gt;""),"second part: type Mixed; ","")&amp;IF(AND(Q170&lt;&gt;"",N(Q170)&gt;1),"over 100 % of the spec load; ","")&amp;IF(N(R170)&gt;Settings!$B$10,"over the tray maximum (kg); ","")&amp;IF(AND(K170&lt;&gt;"",IFERROR(INDEX(Parts!$C$6:$C$45,MATCH(K170,Parts!$A$6:$A$45,0)),O170)&lt;&gt;O170),"different processes in one tray; ","")&amp;IF(AND(S170&lt;&gt;"",T170=""),"rework reason missing; ",""))</f>
        <v/>
      </c>
    </row>
    <row r="171" customFormat="false" ht="15" hidden="false" customHeight="false" outlineLevel="0" collapsed="false">
      <c r="A171" s="18" t="str">
        <f aca="false">IF(B171="","",COUNTA(B$7:B171))</f>
        <v/>
      </c>
      <c r="B171" s="19"/>
      <c r="C171" s="20"/>
      <c r="D171" s="19" t="str">
        <f aca="false">IF(B171="","",IF(D170="",Report!$B$12,D170))</f>
        <v/>
      </c>
      <c r="E171" s="22" t="str">
        <f aca="false">IF(B171="","",IF(C171&lt;&gt;"",C171,E170+D170/1440+SUMIFS(Holds!$F$7:$F$46,Holds!$B$7:$B$46,"&gt;="&amp;E170,Holds!$B$7:$B$46,"&lt;"&amp;E170+D170/1440)/1440))</f>
        <v/>
      </c>
      <c r="F171" s="19"/>
      <c r="G171" s="19"/>
      <c r="H171" s="19"/>
      <c r="I171" s="19"/>
      <c r="J171" s="19"/>
      <c r="K171" s="19"/>
      <c r="L171" s="19"/>
      <c r="M171" s="19"/>
      <c r="N171" s="19"/>
      <c r="O171" s="18" t="str">
        <f aca="false">IF(F171="","",IFERROR(INDEX(Parts!$C$6:$C$45,MATCH(F171,Parts!$A$6:$A$45,0)),""))</f>
        <v/>
      </c>
      <c r="P171" s="18" t="str">
        <f aca="false">IF(F171="","",IFERROR(INDEX(Parts!$E$6:$E$45,MATCH(F171,Parts!$A$6:$A$45,0)),""))</f>
        <v/>
      </c>
      <c r="Q171" s="23" t="str">
        <f aca="false">IF(OR(J171="",P171="",P171=0),"",J171/P171+IF(OR(N171="",K171=""),0,IFERROR(N171/INDEX(Parts!$E$6:$E$45,MATCH(K171,Parts!$A$6:$A$45,0)),0)))</f>
        <v/>
      </c>
      <c r="R171" s="24" t="str">
        <f aca="false">IF(B171="","",IF(J171="",0,J171*IFERROR(INDEX(Parts!$F$6:$F$45,MATCH(F171,Parts!$A$6:$A$45,0)),0))+IF(N171="",0,N171*IFERROR(INDEX(Parts!$F$6:$F$45,MATCH(K171,Parts!$A$6:$A$45,0)),0)))</f>
        <v/>
      </c>
      <c r="S171" s="19"/>
      <c r="T171" s="19"/>
      <c r="U171" s="18" t="str">
        <f aca="false">IF(B171="","",IF(F171="",Settings!$B$9,IFERROR(INDEX(Parts!$H$6:$H$45,MATCH(F171,Parts!$A$6:$A$45,0))+0,Settings!$B$9)))</f>
        <v/>
      </c>
      <c r="V171" s="22" t="str">
        <f aca="false">IF(B171="","",IF(INDEX($E$7:$E$336,ROW()-6+Settings!$B$7)&lt;&gt;"",INDEX($E$7:$E$336,ROW()-6+Settings!$B$7),E171+Settings!$B$7*D171/1440))</f>
        <v/>
      </c>
      <c r="W171" s="22" t="str">
        <f aca="false">IF(B171="","",IF(INDEX($E$7:$E$336,ROW()-6+Settings!$B$7+Settings!$B$8)&lt;&gt;"",INDEX($E$7:$E$336,ROW()-6+Settings!$B$7+Settings!$B$8),E171+(Settings!$B$7+Settings!$B$8)*D171/1440)+U171/1440)</f>
        <v/>
      </c>
      <c r="X171" s="18" t="str">
        <f aca="false">IF(B171="","",IF(INDEX($E$7:$E$336,ROW()-6+Settings!$B$7+Settings!$B$8)&lt;&gt;"","line","estimate"))</f>
        <v/>
      </c>
      <c r="Y171" s="25" t="str">
        <f aca="false">IF(B171="","",INT(W171-Settings!$B$6))</f>
        <v/>
      </c>
      <c r="Z171" s="19"/>
      <c r="AA171" s="18" t="str">
        <f aca="false">IF(B171="","",IF(AND(B171&lt;&gt;"Empty",F171=""),"part missing; ","")&amp;IF(AND(F171&lt;&gt;"",J171=""),"pieces missing; ","")&amp;IF(AND(F171&lt;&gt;"",O171=""),"part not on the Parts sheet; ","")&amp;IF(AND(B171="Empty",OR(F171&lt;&gt;"",K171&lt;&gt;"")),"empty tray with parts; ","")&amp;IF(AND(B171="Loaded",K171&lt;&gt;""),"second part: type Mixed; ","")&amp;IF(AND(Q171&lt;&gt;"",N(Q171)&gt;1),"over 100 % of the spec load; ","")&amp;IF(N(R171)&gt;Settings!$B$10,"over the tray maximum (kg); ","")&amp;IF(AND(K171&lt;&gt;"",IFERROR(INDEX(Parts!$C$6:$C$45,MATCH(K171,Parts!$A$6:$A$45,0)),O171)&lt;&gt;O171),"different processes in one tray; ","")&amp;IF(AND(S171&lt;&gt;"",T171=""),"rework reason missing; ",""))</f>
        <v/>
      </c>
    </row>
    <row r="172" customFormat="false" ht="15" hidden="false" customHeight="false" outlineLevel="0" collapsed="false">
      <c r="A172" s="18" t="str">
        <f aca="false">IF(B172="","",COUNTA(B$7:B172))</f>
        <v/>
      </c>
      <c r="B172" s="19"/>
      <c r="C172" s="20"/>
      <c r="D172" s="19" t="str">
        <f aca="false">IF(B172="","",IF(D171="",Report!$B$12,D171))</f>
        <v/>
      </c>
      <c r="E172" s="22" t="str">
        <f aca="false">IF(B172="","",IF(C172&lt;&gt;"",C172,E171+D171/1440+SUMIFS(Holds!$F$7:$F$46,Holds!$B$7:$B$46,"&gt;="&amp;E171,Holds!$B$7:$B$46,"&lt;"&amp;E171+D171/1440)/1440))</f>
        <v/>
      </c>
      <c r="F172" s="19"/>
      <c r="G172" s="19"/>
      <c r="H172" s="19"/>
      <c r="I172" s="19"/>
      <c r="J172" s="19"/>
      <c r="K172" s="19"/>
      <c r="L172" s="19"/>
      <c r="M172" s="19"/>
      <c r="N172" s="19"/>
      <c r="O172" s="18" t="str">
        <f aca="false">IF(F172="","",IFERROR(INDEX(Parts!$C$6:$C$45,MATCH(F172,Parts!$A$6:$A$45,0)),""))</f>
        <v/>
      </c>
      <c r="P172" s="18" t="str">
        <f aca="false">IF(F172="","",IFERROR(INDEX(Parts!$E$6:$E$45,MATCH(F172,Parts!$A$6:$A$45,0)),""))</f>
        <v/>
      </c>
      <c r="Q172" s="23" t="str">
        <f aca="false">IF(OR(J172="",P172="",P172=0),"",J172/P172+IF(OR(N172="",K172=""),0,IFERROR(N172/INDEX(Parts!$E$6:$E$45,MATCH(K172,Parts!$A$6:$A$45,0)),0)))</f>
        <v/>
      </c>
      <c r="R172" s="24" t="str">
        <f aca="false">IF(B172="","",IF(J172="",0,J172*IFERROR(INDEX(Parts!$F$6:$F$45,MATCH(F172,Parts!$A$6:$A$45,0)),0))+IF(N172="",0,N172*IFERROR(INDEX(Parts!$F$6:$F$45,MATCH(K172,Parts!$A$6:$A$45,0)),0)))</f>
        <v/>
      </c>
      <c r="S172" s="19"/>
      <c r="T172" s="19"/>
      <c r="U172" s="18" t="str">
        <f aca="false">IF(B172="","",IF(F172="",Settings!$B$9,IFERROR(INDEX(Parts!$H$6:$H$45,MATCH(F172,Parts!$A$6:$A$45,0))+0,Settings!$B$9)))</f>
        <v/>
      </c>
      <c r="V172" s="22" t="str">
        <f aca="false">IF(B172="","",IF(INDEX($E$7:$E$336,ROW()-6+Settings!$B$7)&lt;&gt;"",INDEX($E$7:$E$336,ROW()-6+Settings!$B$7),E172+Settings!$B$7*D172/1440))</f>
        <v/>
      </c>
      <c r="W172" s="22" t="str">
        <f aca="false">IF(B172="","",IF(INDEX($E$7:$E$336,ROW()-6+Settings!$B$7+Settings!$B$8)&lt;&gt;"",INDEX($E$7:$E$336,ROW()-6+Settings!$B$7+Settings!$B$8),E172+(Settings!$B$7+Settings!$B$8)*D172/1440)+U172/1440)</f>
        <v/>
      </c>
      <c r="X172" s="18" t="str">
        <f aca="false">IF(B172="","",IF(INDEX($E$7:$E$336,ROW()-6+Settings!$B$7+Settings!$B$8)&lt;&gt;"","line","estimate"))</f>
        <v/>
      </c>
      <c r="Y172" s="25" t="str">
        <f aca="false">IF(B172="","",INT(W172-Settings!$B$6))</f>
        <v/>
      </c>
      <c r="Z172" s="19"/>
      <c r="AA172" s="18" t="str">
        <f aca="false">IF(B172="","",IF(AND(B172&lt;&gt;"Empty",F172=""),"part missing; ","")&amp;IF(AND(F172&lt;&gt;"",J172=""),"pieces missing; ","")&amp;IF(AND(F172&lt;&gt;"",O172=""),"part not on the Parts sheet; ","")&amp;IF(AND(B172="Empty",OR(F172&lt;&gt;"",K172&lt;&gt;"")),"empty tray with parts; ","")&amp;IF(AND(B172="Loaded",K172&lt;&gt;""),"second part: type Mixed; ","")&amp;IF(AND(Q172&lt;&gt;"",N(Q172)&gt;1),"over 100 % of the spec load; ","")&amp;IF(N(R172)&gt;Settings!$B$10,"over the tray maximum (kg); ","")&amp;IF(AND(K172&lt;&gt;"",IFERROR(INDEX(Parts!$C$6:$C$45,MATCH(K172,Parts!$A$6:$A$45,0)),O172)&lt;&gt;O172),"different processes in one tray; ","")&amp;IF(AND(S172&lt;&gt;"",T172=""),"rework reason missing; ",""))</f>
        <v/>
      </c>
    </row>
    <row r="173" customFormat="false" ht="15" hidden="false" customHeight="false" outlineLevel="0" collapsed="false">
      <c r="A173" s="18" t="str">
        <f aca="false">IF(B173="","",COUNTA(B$7:B173))</f>
        <v/>
      </c>
      <c r="B173" s="19"/>
      <c r="C173" s="20"/>
      <c r="D173" s="19" t="str">
        <f aca="false">IF(B173="","",IF(D172="",Report!$B$12,D172))</f>
        <v/>
      </c>
      <c r="E173" s="22" t="str">
        <f aca="false">IF(B173="","",IF(C173&lt;&gt;"",C173,E172+D172/1440+SUMIFS(Holds!$F$7:$F$46,Holds!$B$7:$B$46,"&gt;="&amp;E172,Holds!$B$7:$B$46,"&lt;"&amp;E172+D172/1440)/1440))</f>
        <v/>
      </c>
      <c r="F173" s="19"/>
      <c r="G173" s="19"/>
      <c r="H173" s="19"/>
      <c r="I173" s="19"/>
      <c r="J173" s="19"/>
      <c r="K173" s="19"/>
      <c r="L173" s="19"/>
      <c r="M173" s="19"/>
      <c r="N173" s="19"/>
      <c r="O173" s="18" t="str">
        <f aca="false">IF(F173="","",IFERROR(INDEX(Parts!$C$6:$C$45,MATCH(F173,Parts!$A$6:$A$45,0)),""))</f>
        <v/>
      </c>
      <c r="P173" s="18" t="str">
        <f aca="false">IF(F173="","",IFERROR(INDEX(Parts!$E$6:$E$45,MATCH(F173,Parts!$A$6:$A$45,0)),""))</f>
        <v/>
      </c>
      <c r="Q173" s="23" t="str">
        <f aca="false">IF(OR(J173="",P173="",P173=0),"",J173/P173+IF(OR(N173="",K173=""),0,IFERROR(N173/INDEX(Parts!$E$6:$E$45,MATCH(K173,Parts!$A$6:$A$45,0)),0)))</f>
        <v/>
      </c>
      <c r="R173" s="24" t="str">
        <f aca="false">IF(B173="","",IF(J173="",0,J173*IFERROR(INDEX(Parts!$F$6:$F$45,MATCH(F173,Parts!$A$6:$A$45,0)),0))+IF(N173="",0,N173*IFERROR(INDEX(Parts!$F$6:$F$45,MATCH(K173,Parts!$A$6:$A$45,0)),0)))</f>
        <v/>
      </c>
      <c r="S173" s="19"/>
      <c r="T173" s="19"/>
      <c r="U173" s="18" t="str">
        <f aca="false">IF(B173="","",IF(F173="",Settings!$B$9,IFERROR(INDEX(Parts!$H$6:$H$45,MATCH(F173,Parts!$A$6:$A$45,0))+0,Settings!$B$9)))</f>
        <v/>
      </c>
      <c r="V173" s="22" t="str">
        <f aca="false">IF(B173="","",IF(INDEX($E$7:$E$336,ROW()-6+Settings!$B$7)&lt;&gt;"",INDEX($E$7:$E$336,ROW()-6+Settings!$B$7),E173+Settings!$B$7*D173/1440))</f>
        <v/>
      </c>
      <c r="W173" s="22" t="str">
        <f aca="false">IF(B173="","",IF(INDEX($E$7:$E$336,ROW()-6+Settings!$B$7+Settings!$B$8)&lt;&gt;"",INDEX($E$7:$E$336,ROW()-6+Settings!$B$7+Settings!$B$8),E173+(Settings!$B$7+Settings!$B$8)*D173/1440)+U173/1440)</f>
        <v/>
      </c>
      <c r="X173" s="18" t="str">
        <f aca="false">IF(B173="","",IF(INDEX($E$7:$E$336,ROW()-6+Settings!$B$7+Settings!$B$8)&lt;&gt;"","line","estimate"))</f>
        <v/>
      </c>
      <c r="Y173" s="25" t="str">
        <f aca="false">IF(B173="","",INT(W173-Settings!$B$6))</f>
        <v/>
      </c>
      <c r="Z173" s="19"/>
      <c r="AA173" s="18" t="str">
        <f aca="false">IF(B173="","",IF(AND(B173&lt;&gt;"Empty",F173=""),"part missing; ","")&amp;IF(AND(F173&lt;&gt;"",J173=""),"pieces missing; ","")&amp;IF(AND(F173&lt;&gt;"",O173=""),"part not on the Parts sheet; ","")&amp;IF(AND(B173="Empty",OR(F173&lt;&gt;"",K173&lt;&gt;"")),"empty tray with parts; ","")&amp;IF(AND(B173="Loaded",K173&lt;&gt;""),"second part: type Mixed; ","")&amp;IF(AND(Q173&lt;&gt;"",N(Q173)&gt;1),"over 100 % of the spec load; ","")&amp;IF(N(R173)&gt;Settings!$B$10,"over the tray maximum (kg); ","")&amp;IF(AND(K173&lt;&gt;"",IFERROR(INDEX(Parts!$C$6:$C$45,MATCH(K173,Parts!$A$6:$A$45,0)),O173)&lt;&gt;O173),"different processes in one tray; ","")&amp;IF(AND(S173&lt;&gt;"",T173=""),"rework reason missing; ",""))</f>
        <v/>
      </c>
    </row>
    <row r="174" customFormat="false" ht="15" hidden="false" customHeight="false" outlineLevel="0" collapsed="false">
      <c r="A174" s="18" t="str">
        <f aca="false">IF(B174="","",COUNTA(B$7:B174))</f>
        <v/>
      </c>
      <c r="B174" s="19"/>
      <c r="C174" s="20"/>
      <c r="D174" s="19" t="str">
        <f aca="false">IF(B174="","",IF(D173="",Report!$B$12,D173))</f>
        <v/>
      </c>
      <c r="E174" s="22" t="str">
        <f aca="false">IF(B174="","",IF(C174&lt;&gt;"",C174,E173+D173/1440+SUMIFS(Holds!$F$7:$F$46,Holds!$B$7:$B$46,"&gt;="&amp;E173,Holds!$B$7:$B$46,"&lt;"&amp;E173+D173/1440)/1440))</f>
        <v/>
      </c>
      <c r="F174" s="19"/>
      <c r="G174" s="19"/>
      <c r="H174" s="19"/>
      <c r="I174" s="19"/>
      <c r="J174" s="19"/>
      <c r="K174" s="19"/>
      <c r="L174" s="19"/>
      <c r="M174" s="19"/>
      <c r="N174" s="19"/>
      <c r="O174" s="18" t="str">
        <f aca="false">IF(F174="","",IFERROR(INDEX(Parts!$C$6:$C$45,MATCH(F174,Parts!$A$6:$A$45,0)),""))</f>
        <v/>
      </c>
      <c r="P174" s="18" t="str">
        <f aca="false">IF(F174="","",IFERROR(INDEX(Parts!$E$6:$E$45,MATCH(F174,Parts!$A$6:$A$45,0)),""))</f>
        <v/>
      </c>
      <c r="Q174" s="23" t="str">
        <f aca="false">IF(OR(J174="",P174="",P174=0),"",J174/P174+IF(OR(N174="",K174=""),0,IFERROR(N174/INDEX(Parts!$E$6:$E$45,MATCH(K174,Parts!$A$6:$A$45,0)),0)))</f>
        <v/>
      </c>
      <c r="R174" s="24" t="str">
        <f aca="false">IF(B174="","",IF(J174="",0,J174*IFERROR(INDEX(Parts!$F$6:$F$45,MATCH(F174,Parts!$A$6:$A$45,0)),0))+IF(N174="",0,N174*IFERROR(INDEX(Parts!$F$6:$F$45,MATCH(K174,Parts!$A$6:$A$45,0)),0)))</f>
        <v/>
      </c>
      <c r="S174" s="19"/>
      <c r="T174" s="19"/>
      <c r="U174" s="18" t="str">
        <f aca="false">IF(B174="","",IF(F174="",Settings!$B$9,IFERROR(INDEX(Parts!$H$6:$H$45,MATCH(F174,Parts!$A$6:$A$45,0))+0,Settings!$B$9)))</f>
        <v/>
      </c>
      <c r="V174" s="22" t="str">
        <f aca="false">IF(B174="","",IF(INDEX($E$7:$E$336,ROW()-6+Settings!$B$7)&lt;&gt;"",INDEX($E$7:$E$336,ROW()-6+Settings!$B$7),E174+Settings!$B$7*D174/1440))</f>
        <v/>
      </c>
      <c r="W174" s="22" t="str">
        <f aca="false">IF(B174="","",IF(INDEX($E$7:$E$336,ROW()-6+Settings!$B$7+Settings!$B$8)&lt;&gt;"",INDEX($E$7:$E$336,ROW()-6+Settings!$B$7+Settings!$B$8),E174+(Settings!$B$7+Settings!$B$8)*D174/1440)+U174/1440)</f>
        <v/>
      </c>
      <c r="X174" s="18" t="str">
        <f aca="false">IF(B174="","",IF(INDEX($E$7:$E$336,ROW()-6+Settings!$B$7+Settings!$B$8)&lt;&gt;"","line","estimate"))</f>
        <v/>
      </c>
      <c r="Y174" s="25" t="str">
        <f aca="false">IF(B174="","",INT(W174-Settings!$B$6))</f>
        <v/>
      </c>
      <c r="Z174" s="19"/>
      <c r="AA174" s="18" t="str">
        <f aca="false">IF(B174="","",IF(AND(B174&lt;&gt;"Empty",F174=""),"part missing; ","")&amp;IF(AND(F174&lt;&gt;"",J174=""),"pieces missing; ","")&amp;IF(AND(F174&lt;&gt;"",O174=""),"part not on the Parts sheet; ","")&amp;IF(AND(B174="Empty",OR(F174&lt;&gt;"",K174&lt;&gt;"")),"empty tray with parts; ","")&amp;IF(AND(B174="Loaded",K174&lt;&gt;""),"second part: type Mixed; ","")&amp;IF(AND(Q174&lt;&gt;"",N(Q174)&gt;1),"over 100 % of the spec load; ","")&amp;IF(N(R174)&gt;Settings!$B$10,"over the tray maximum (kg); ","")&amp;IF(AND(K174&lt;&gt;"",IFERROR(INDEX(Parts!$C$6:$C$45,MATCH(K174,Parts!$A$6:$A$45,0)),O174)&lt;&gt;O174),"different processes in one tray; ","")&amp;IF(AND(S174&lt;&gt;"",T174=""),"rework reason missing; ",""))</f>
        <v/>
      </c>
    </row>
    <row r="175" customFormat="false" ht="15" hidden="false" customHeight="false" outlineLevel="0" collapsed="false">
      <c r="A175" s="18" t="str">
        <f aca="false">IF(B175="","",COUNTA(B$7:B175))</f>
        <v/>
      </c>
      <c r="B175" s="19"/>
      <c r="C175" s="20"/>
      <c r="D175" s="19" t="str">
        <f aca="false">IF(B175="","",IF(D174="",Report!$B$12,D174))</f>
        <v/>
      </c>
      <c r="E175" s="22" t="str">
        <f aca="false">IF(B175="","",IF(C175&lt;&gt;"",C175,E174+D174/1440+SUMIFS(Holds!$F$7:$F$46,Holds!$B$7:$B$46,"&gt;="&amp;E174,Holds!$B$7:$B$46,"&lt;"&amp;E174+D174/1440)/1440))</f>
        <v/>
      </c>
      <c r="F175" s="19"/>
      <c r="G175" s="19"/>
      <c r="H175" s="19"/>
      <c r="I175" s="19"/>
      <c r="J175" s="19"/>
      <c r="K175" s="19"/>
      <c r="L175" s="19"/>
      <c r="M175" s="19"/>
      <c r="N175" s="19"/>
      <c r="O175" s="18" t="str">
        <f aca="false">IF(F175="","",IFERROR(INDEX(Parts!$C$6:$C$45,MATCH(F175,Parts!$A$6:$A$45,0)),""))</f>
        <v/>
      </c>
      <c r="P175" s="18" t="str">
        <f aca="false">IF(F175="","",IFERROR(INDEX(Parts!$E$6:$E$45,MATCH(F175,Parts!$A$6:$A$45,0)),""))</f>
        <v/>
      </c>
      <c r="Q175" s="23" t="str">
        <f aca="false">IF(OR(J175="",P175="",P175=0),"",J175/P175+IF(OR(N175="",K175=""),0,IFERROR(N175/INDEX(Parts!$E$6:$E$45,MATCH(K175,Parts!$A$6:$A$45,0)),0)))</f>
        <v/>
      </c>
      <c r="R175" s="24" t="str">
        <f aca="false">IF(B175="","",IF(J175="",0,J175*IFERROR(INDEX(Parts!$F$6:$F$45,MATCH(F175,Parts!$A$6:$A$45,0)),0))+IF(N175="",0,N175*IFERROR(INDEX(Parts!$F$6:$F$45,MATCH(K175,Parts!$A$6:$A$45,0)),0)))</f>
        <v/>
      </c>
      <c r="S175" s="19"/>
      <c r="T175" s="19"/>
      <c r="U175" s="18" t="str">
        <f aca="false">IF(B175="","",IF(F175="",Settings!$B$9,IFERROR(INDEX(Parts!$H$6:$H$45,MATCH(F175,Parts!$A$6:$A$45,0))+0,Settings!$B$9)))</f>
        <v/>
      </c>
      <c r="V175" s="22" t="str">
        <f aca="false">IF(B175="","",IF(INDEX($E$7:$E$336,ROW()-6+Settings!$B$7)&lt;&gt;"",INDEX($E$7:$E$336,ROW()-6+Settings!$B$7),E175+Settings!$B$7*D175/1440))</f>
        <v/>
      </c>
      <c r="W175" s="22" t="str">
        <f aca="false">IF(B175="","",IF(INDEX($E$7:$E$336,ROW()-6+Settings!$B$7+Settings!$B$8)&lt;&gt;"",INDEX($E$7:$E$336,ROW()-6+Settings!$B$7+Settings!$B$8),E175+(Settings!$B$7+Settings!$B$8)*D175/1440)+U175/1440)</f>
        <v/>
      </c>
      <c r="X175" s="18" t="str">
        <f aca="false">IF(B175="","",IF(INDEX($E$7:$E$336,ROW()-6+Settings!$B$7+Settings!$B$8)&lt;&gt;"","line","estimate"))</f>
        <v/>
      </c>
      <c r="Y175" s="25" t="str">
        <f aca="false">IF(B175="","",INT(W175-Settings!$B$6))</f>
        <v/>
      </c>
      <c r="Z175" s="19"/>
      <c r="AA175" s="18" t="str">
        <f aca="false">IF(B175="","",IF(AND(B175&lt;&gt;"Empty",F175=""),"part missing; ","")&amp;IF(AND(F175&lt;&gt;"",J175=""),"pieces missing; ","")&amp;IF(AND(F175&lt;&gt;"",O175=""),"part not on the Parts sheet; ","")&amp;IF(AND(B175="Empty",OR(F175&lt;&gt;"",K175&lt;&gt;"")),"empty tray with parts; ","")&amp;IF(AND(B175="Loaded",K175&lt;&gt;""),"second part: type Mixed; ","")&amp;IF(AND(Q175&lt;&gt;"",N(Q175)&gt;1),"over 100 % of the spec load; ","")&amp;IF(N(R175)&gt;Settings!$B$10,"over the tray maximum (kg); ","")&amp;IF(AND(K175&lt;&gt;"",IFERROR(INDEX(Parts!$C$6:$C$45,MATCH(K175,Parts!$A$6:$A$45,0)),O175)&lt;&gt;O175),"different processes in one tray; ","")&amp;IF(AND(S175&lt;&gt;"",T175=""),"rework reason missing; ",""))</f>
        <v/>
      </c>
    </row>
    <row r="176" customFormat="false" ht="15" hidden="false" customHeight="false" outlineLevel="0" collapsed="false">
      <c r="A176" s="18" t="str">
        <f aca="false">IF(B176="","",COUNTA(B$7:B176))</f>
        <v/>
      </c>
      <c r="B176" s="19"/>
      <c r="C176" s="20"/>
      <c r="D176" s="19" t="str">
        <f aca="false">IF(B176="","",IF(D175="",Report!$B$12,D175))</f>
        <v/>
      </c>
      <c r="E176" s="22" t="str">
        <f aca="false">IF(B176="","",IF(C176&lt;&gt;"",C176,E175+D175/1440+SUMIFS(Holds!$F$7:$F$46,Holds!$B$7:$B$46,"&gt;="&amp;E175,Holds!$B$7:$B$46,"&lt;"&amp;E175+D175/1440)/1440))</f>
        <v/>
      </c>
      <c r="F176" s="19"/>
      <c r="G176" s="19"/>
      <c r="H176" s="19"/>
      <c r="I176" s="19"/>
      <c r="J176" s="19"/>
      <c r="K176" s="19"/>
      <c r="L176" s="19"/>
      <c r="M176" s="19"/>
      <c r="N176" s="19"/>
      <c r="O176" s="18" t="str">
        <f aca="false">IF(F176="","",IFERROR(INDEX(Parts!$C$6:$C$45,MATCH(F176,Parts!$A$6:$A$45,0)),""))</f>
        <v/>
      </c>
      <c r="P176" s="18" t="str">
        <f aca="false">IF(F176="","",IFERROR(INDEX(Parts!$E$6:$E$45,MATCH(F176,Parts!$A$6:$A$45,0)),""))</f>
        <v/>
      </c>
      <c r="Q176" s="23" t="str">
        <f aca="false">IF(OR(J176="",P176="",P176=0),"",J176/P176+IF(OR(N176="",K176=""),0,IFERROR(N176/INDEX(Parts!$E$6:$E$45,MATCH(K176,Parts!$A$6:$A$45,0)),0)))</f>
        <v/>
      </c>
      <c r="R176" s="24" t="str">
        <f aca="false">IF(B176="","",IF(J176="",0,J176*IFERROR(INDEX(Parts!$F$6:$F$45,MATCH(F176,Parts!$A$6:$A$45,0)),0))+IF(N176="",0,N176*IFERROR(INDEX(Parts!$F$6:$F$45,MATCH(K176,Parts!$A$6:$A$45,0)),0)))</f>
        <v/>
      </c>
      <c r="S176" s="19"/>
      <c r="T176" s="19"/>
      <c r="U176" s="18" t="str">
        <f aca="false">IF(B176="","",IF(F176="",Settings!$B$9,IFERROR(INDEX(Parts!$H$6:$H$45,MATCH(F176,Parts!$A$6:$A$45,0))+0,Settings!$B$9)))</f>
        <v/>
      </c>
      <c r="V176" s="22" t="str">
        <f aca="false">IF(B176="","",IF(INDEX($E$7:$E$336,ROW()-6+Settings!$B$7)&lt;&gt;"",INDEX($E$7:$E$336,ROW()-6+Settings!$B$7),E176+Settings!$B$7*D176/1440))</f>
        <v/>
      </c>
      <c r="W176" s="22" t="str">
        <f aca="false">IF(B176="","",IF(INDEX($E$7:$E$336,ROW()-6+Settings!$B$7+Settings!$B$8)&lt;&gt;"",INDEX($E$7:$E$336,ROW()-6+Settings!$B$7+Settings!$B$8),E176+(Settings!$B$7+Settings!$B$8)*D176/1440)+U176/1440)</f>
        <v/>
      </c>
      <c r="X176" s="18" t="str">
        <f aca="false">IF(B176="","",IF(INDEX($E$7:$E$336,ROW()-6+Settings!$B$7+Settings!$B$8)&lt;&gt;"","line","estimate"))</f>
        <v/>
      </c>
      <c r="Y176" s="25" t="str">
        <f aca="false">IF(B176="","",INT(W176-Settings!$B$6))</f>
        <v/>
      </c>
      <c r="Z176" s="19"/>
      <c r="AA176" s="18" t="str">
        <f aca="false">IF(B176="","",IF(AND(B176&lt;&gt;"Empty",F176=""),"part missing; ","")&amp;IF(AND(F176&lt;&gt;"",J176=""),"pieces missing; ","")&amp;IF(AND(F176&lt;&gt;"",O176=""),"part not on the Parts sheet; ","")&amp;IF(AND(B176="Empty",OR(F176&lt;&gt;"",K176&lt;&gt;"")),"empty tray with parts; ","")&amp;IF(AND(B176="Loaded",K176&lt;&gt;""),"second part: type Mixed; ","")&amp;IF(AND(Q176&lt;&gt;"",N(Q176)&gt;1),"over 100 % of the spec load; ","")&amp;IF(N(R176)&gt;Settings!$B$10,"over the tray maximum (kg); ","")&amp;IF(AND(K176&lt;&gt;"",IFERROR(INDEX(Parts!$C$6:$C$45,MATCH(K176,Parts!$A$6:$A$45,0)),O176)&lt;&gt;O176),"different processes in one tray; ","")&amp;IF(AND(S176&lt;&gt;"",T176=""),"rework reason missing; ",""))</f>
        <v/>
      </c>
    </row>
    <row r="177" customFormat="false" ht="15" hidden="false" customHeight="false" outlineLevel="0" collapsed="false">
      <c r="A177" s="18" t="str">
        <f aca="false">IF(B177="","",COUNTA(B$7:B177))</f>
        <v/>
      </c>
      <c r="B177" s="19"/>
      <c r="C177" s="20"/>
      <c r="D177" s="19" t="str">
        <f aca="false">IF(B177="","",IF(D176="",Report!$B$12,D176))</f>
        <v/>
      </c>
      <c r="E177" s="22" t="str">
        <f aca="false">IF(B177="","",IF(C177&lt;&gt;"",C177,E176+D176/1440+SUMIFS(Holds!$F$7:$F$46,Holds!$B$7:$B$46,"&gt;="&amp;E176,Holds!$B$7:$B$46,"&lt;"&amp;E176+D176/1440)/1440))</f>
        <v/>
      </c>
      <c r="F177" s="19"/>
      <c r="G177" s="19"/>
      <c r="H177" s="19"/>
      <c r="I177" s="19"/>
      <c r="J177" s="19"/>
      <c r="K177" s="19"/>
      <c r="L177" s="19"/>
      <c r="M177" s="19"/>
      <c r="N177" s="19"/>
      <c r="O177" s="18" t="str">
        <f aca="false">IF(F177="","",IFERROR(INDEX(Parts!$C$6:$C$45,MATCH(F177,Parts!$A$6:$A$45,0)),""))</f>
        <v/>
      </c>
      <c r="P177" s="18" t="str">
        <f aca="false">IF(F177="","",IFERROR(INDEX(Parts!$E$6:$E$45,MATCH(F177,Parts!$A$6:$A$45,0)),""))</f>
        <v/>
      </c>
      <c r="Q177" s="23" t="str">
        <f aca="false">IF(OR(J177="",P177="",P177=0),"",J177/P177+IF(OR(N177="",K177=""),0,IFERROR(N177/INDEX(Parts!$E$6:$E$45,MATCH(K177,Parts!$A$6:$A$45,0)),0)))</f>
        <v/>
      </c>
      <c r="R177" s="24" t="str">
        <f aca="false">IF(B177="","",IF(J177="",0,J177*IFERROR(INDEX(Parts!$F$6:$F$45,MATCH(F177,Parts!$A$6:$A$45,0)),0))+IF(N177="",0,N177*IFERROR(INDEX(Parts!$F$6:$F$45,MATCH(K177,Parts!$A$6:$A$45,0)),0)))</f>
        <v/>
      </c>
      <c r="S177" s="19"/>
      <c r="T177" s="19"/>
      <c r="U177" s="18" t="str">
        <f aca="false">IF(B177="","",IF(F177="",Settings!$B$9,IFERROR(INDEX(Parts!$H$6:$H$45,MATCH(F177,Parts!$A$6:$A$45,0))+0,Settings!$B$9)))</f>
        <v/>
      </c>
      <c r="V177" s="22" t="str">
        <f aca="false">IF(B177="","",IF(INDEX($E$7:$E$336,ROW()-6+Settings!$B$7)&lt;&gt;"",INDEX($E$7:$E$336,ROW()-6+Settings!$B$7),E177+Settings!$B$7*D177/1440))</f>
        <v/>
      </c>
      <c r="W177" s="22" t="str">
        <f aca="false">IF(B177="","",IF(INDEX($E$7:$E$336,ROW()-6+Settings!$B$7+Settings!$B$8)&lt;&gt;"",INDEX($E$7:$E$336,ROW()-6+Settings!$B$7+Settings!$B$8),E177+(Settings!$B$7+Settings!$B$8)*D177/1440)+U177/1440)</f>
        <v/>
      </c>
      <c r="X177" s="18" t="str">
        <f aca="false">IF(B177="","",IF(INDEX($E$7:$E$336,ROW()-6+Settings!$B$7+Settings!$B$8)&lt;&gt;"","line","estimate"))</f>
        <v/>
      </c>
      <c r="Y177" s="25" t="str">
        <f aca="false">IF(B177="","",INT(W177-Settings!$B$6))</f>
        <v/>
      </c>
      <c r="Z177" s="19"/>
      <c r="AA177" s="18" t="str">
        <f aca="false">IF(B177="","",IF(AND(B177&lt;&gt;"Empty",F177=""),"part missing; ","")&amp;IF(AND(F177&lt;&gt;"",J177=""),"pieces missing; ","")&amp;IF(AND(F177&lt;&gt;"",O177=""),"part not on the Parts sheet; ","")&amp;IF(AND(B177="Empty",OR(F177&lt;&gt;"",K177&lt;&gt;"")),"empty tray with parts; ","")&amp;IF(AND(B177="Loaded",K177&lt;&gt;""),"second part: type Mixed; ","")&amp;IF(AND(Q177&lt;&gt;"",N(Q177)&gt;1),"over 100 % of the spec load; ","")&amp;IF(N(R177)&gt;Settings!$B$10,"over the tray maximum (kg); ","")&amp;IF(AND(K177&lt;&gt;"",IFERROR(INDEX(Parts!$C$6:$C$45,MATCH(K177,Parts!$A$6:$A$45,0)),O177)&lt;&gt;O177),"different processes in one tray; ","")&amp;IF(AND(S177&lt;&gt;"",T177=""),"rework reason missing; ",""))</f>
        <v/>
      </c>
    </row>
    <row r="178" customFormat="false" ht="15" hidden="false" customHeight="false" outlineLevel="0" collapsed="false">
      <c r="A178" s="18" t="str">
        <f aca="false">IF(B178="","",COUNTA(B$7:B178))</f>
        <v/>
      </c>
      <c r="B178" s="19"/>
      <c r="C178" s="20"/>
      <c r="D178" s="19" t="str">
        <f aca="false">IF(B178="","",IF(D177="",Report!$B$12,D177))</f>
        <v/>
      </c>
      <c r="E178" s="22" t="str">
        <f aca="false">IF(B178="","",IF(C178&lt;&gt;"",C178,E177+D177/1440+SUMIFS(Holds!$F$7:$F$46,Holds!$B$7:$B$46,"&gt;="&amp;E177,Holds!$B$7:$B$46,"&lt;"&amp;E177+D177/1440)/1440))</f>
        <v/>
      </c>
      <c r="F178" s="19"/>
      <c r="G178" s="19"/>
      <c r="H178" s="19"/>
      <c r="I178" s="19"/>
      <c r="J178" s="19"/>
      <c r="K178" s="19"/>
      <c r="L178" s="19"/>
      <c r="M178" s="19"/>
      <c r="N178" s="19"/>
      <c r="O178" s="18" t="str">
        <f aca="false">IF(F178="","",IFERROR(INDEX(Parts!$C$6:$C$45,MATCH(F178,Parts!$A$6:$A$45,0)),""))</f>
        <v/>
      </c>
      <c r="P178" s="18" t="str">
        <f aca="false">IF(F178="","",IFERROR(INDEX(Parts!$E$6:$E$45,MATCH(F178,Parts!$A$6:$A$45,0)),""))</f>
        <v/>
      </c>
      <c r="Q178" s="23" t="str">
        <f aca="false">IF(OR(J178="",P178="",P178=0),"",J178/P178+IF(OR(N178="",K178=""),0,IFERROR(N178/INDEX(Parts!$E$6:$E$45,MATCH(K178,Parts!$A$6:$A$45,0)),0)))</f>
        <v/>
      </c>
      <c r="R178" s="24" t="str">
        <f aca="false">IF(B178="","",IF(J178="",0,J178*IFERROR(INDEX(Parts!$F$6:$F$45,MATCH(F178,Parts!$A$6:$A$45,0)),0))+IF(N178="",0,N178*IFERROR(INDEX(Parts!$F$6:$F$45,MATCH(K178,Parts!$A$6:$A$45,0)),0)))</f>
        <v/>
      </c>
      <c r="S178" s="19"/>
      <c r="T178" s="19"/>
      <c r="U178" s="18" t="str">
        <f aca="false">IF(B178="","",IF(F178="",Settings!$B$9,IFERROR(INDEX(Parts!$H$6:$H$45,MATCH(F178,Parts!$A$6:$A$45,0))+0,Settings!$B$9)))</f>
        <v/>
      </c>
      <c r="V178" s="22" t="str">
        <f aca="false">IF(B178="","",IF(INDEX($E$7:$E$336,ROW()-6+Settings!$B$7)&lt;&gt;"",INDEX($E$7:$E$336,ROW()-6+Settings!$B$7),E178+Settings!$B$7*D178/1440))</f>
        <v/>
      </c>
      <c r="W178" s="22" t="str">
        <f aca="false">IF(B178="","",IF(INDEX($E$7:$E$336,ROW()-6+Settings!$B$7+Settings!$B$8)&lt;&gt;"",INDEX($E$7:$E$336,ROW()-6+Settings!$B$7+Settings!$B$8),E178+(Settings!$B$7+Settings!$B$8)*D178/1440)+U178/1440)</f>
        <v/>
      </c>
      <c r="X178" s="18" t="str">
        <f aca="false">IF(B178="","",IF(INDEX($E$7:$E$336,ROW()-6+Settings!$B$7+Settings!$B$8)&lt;&gt;"","line","estimate"))</f>
        <v/>
      </c>
      <c r="Y178" s="25" t="str">
        <f aca="false">IF(B178="","",INT(W178-Settings!$B$6))</f>
        <v/>
      </c>
      <c r="Z178" s="19"/>
      <c r="AA178" s="18" t="str">
        <f aca="false">IF(B178="","",IF(AND(B178&lt;&gt;"Empty",F178=""),"part missing; ","")&amp;IF(AND(F178&lt;&gt;"",J178=""),"pieces missing; ","")&amp;IF(AND(F178&lt;&gt;"",O178=""),"part not on the Parts sheet; ","")&amp;IF(AND(B178="Empty",OR(F178&lt;&gt;"",K178&lt;&gt;"")),"empty tray with parts; ","")&amp;IF(AND(B178="Loaded",K178&lt;&gt;""),"second part: type Mixed; ","")&amp;IF(AND(Q178&lt;&gt;"",N(Q178)&gt;1),"over 100 % of the spec load; ","")&amp;IF(N(R178)&gt;Settings!$B$10,"over the tray maximum (kg); ","")&amp;IF(AND(K178&lt;&gt;"",IFERROR(INDEX(Parts!$C$6:$C$45,MATCH(K178,Parts!$A$6:$A$45,0)),O178)&lt;&gt;O178),"different processes in one tray; ","")&amp;IF(AND(S178&lt;&gt;"",T178=""),"rework reason missing; ",""))</f>
        <v/>
      </c>
    </row>
    <row r="179" customFormat="false" ht="15" hidden="false" customHeight="false" outlineLevel="0" collapsed="false">
      <c r="A179" s="18" t="str">
        <f aca="false">IF(B179="","",COUNTA(B$7:B179))</f>
        <v/>
      </c>
      <c r="B179" s="19"/>
      <c r="C179" s="20"/>
      <c r="D179" s="19" t="str">
        <f aca="false">IF(B179="","",IF(D178="",Report!$B$12,D178))</f>
        <v/>
      </c>
      <c r="E179" s="22" t="str">
        <f aca="false">IF(B179="","",IF(C179&lt;&gt;"",C179,E178+D178/1440+SUMIFS(Holds!$F$7:$F$46,Holds!$B$7:$B$46,"&gt;="&amp;E178,Holds!$B$7:$B$46,"&lt;"&amp;E178+D178/1440)/1440))</f>
        <v/>
      </c>
      <c r="F179" s="19"/>
      <c r="G179" s="19"/>
      <c r="H179" s="19"/>
      <c r="I179" s="19"/>
      <c r="J179" s="19"/>
      <c r="K179" s="19"/>
      <c r="L179" s="19"/>
      <c r="M179" s="19"/>
      <c r="N179" s="19"/>
      <c r="O179" s="18" t="str">
        <f aca="false">IF(F179="","",IFERROR(INDEX(Parts!$C$6:$C$45,MATCH(F179,Parts!$A$6:$A$45,0)),""))</f>
        <v/>
      </c>
      <c r="P179" s="18" t="str">
        <f aca="false">IF(F179="","",IFERROR(INDEX(Parts!$E$6:$E$45,MATCH(F179,Parts!$A$6:$A$45,0)),""))</f>
        <v/>
      </c>
      <c r="Q179" s="23" t="str">
        <f aca="false">IF(OR(J179="",P179="",P179=0),"",J179/P179+IF(OR(N179="",K179=""),0,IFERROR(N179/INDEX(Parts!$E$6:$E$45,MATCH(K179,Parts!$A$6:$A$45,0)),0)))</f>
        <v/>
      </c>
      <c r="R179" s="24" t="str">
        <f aca="false">IF(B179="","",IF(J179="",0,J179*IFERROR(INDEX(Parts!$F$6:$F$45,MATCH(F179,Parts!$A$6:$A$45,0)),0))+IF(N179="",0,N179*IFERROR(INDEX(Parts!$F$6:$F$45,MATCH(K179,Parts!$A$6:$A$45,0)),0)))</f>
        <v/>
      </c>
      <c r="S179" s="19"/>
      <c r="T179" s="19"/>
      <c r="U179" s="18" t="str">
        <f aca="false">IF(B179="","",IF(F179="",Settings!$B$9,IFERROR(INDEX(Parts!$H$6:$H$45,MATCH(F179,Parts!$A$6:$A$45,0))+0,Settings!$B$9)))</f>
        <v/>
      </c>
      <c r="V179" s="22" t="str">
        <f aca="false">IF(B179="","",IF(INDEX($E$7:$E$336,ROW()-6+Settings!$B$7)&lt;&gt;"",INDEX($E$7:$E$336,ROW()-6+Settings!$B$7),E179+Settings!$B$7*D179/1440))</f>
        <v/>
      </c>
      <c r="W179" s="22" t="str">
        <f aca="false">IF(B179="","",IF(INDEX($E$7:$E$336,ROW()-6+Settings!$B$7+Settings!$B$8)&lt;&gt;"",INDEX($E$7:$E$336,ROW()-6+Settings!$B$7+Settings!$B$8),E179+(Settings!$B$7+Settings!$B$8)*D179/1440)+U179/1440)</f>
        <v/>
      </c>
      <c r="X179" s="18" t="str">
        <f aca="false">IF(B179="","",IF(INDEX($E$7:$E$336,ROW()-6+Settings!$B$7+Settings!$B$8)&lt;&gt;"","line","estimate"))</f>
        <v/>
      </c>
      <c r="Y179" s="25" t="str">
        <f aca="false">IF(B179="","",INT(W179-Settings!$B$6))</f>
        <v/>
      </c>
      <c r="Z179" s="19"/>
      <c r="AA179" s="18" t="str">
        <f aca="false">IF(B179="","",IF(AND(B179&lt;&gt;"Empty",F179=""),"part missing; ","")&amp;IF(AND(F179&lt;&gt;"",J179=""),"pieces missing; ","")&amp;IF(AND(F179&lt;&gt;"",O179=""),"part not on the Parts sheet; ","")&amp;IF(AND(B179="Empty",OR(F179&lt;&gt;"",K179&lt;&gt;"")),"empty tray with parts; ","")&amp;IF(AND(B179="Loaded",K179&lt;&gt;""),"second part: type Mixed; ","")&amp;IF(AND(Q179&lt;&gt;"",N(Q179)&gt;1),"over 100 % of the spec load; ","")&amp;IF(N(R179)&gt;Settings!$B$10,"over the tray maximum (kg); ","")&amp;IF(AND(K179&lt;&gt;"",IFERROR(INDEX(Parts!$C$6:$C$45,MATCH(K179,Parts!$A$6:$A$45,0)),O179)&lt;&gt;O179),"different processes in one tray; ","")&amp;IF(AND(S179&lt;&gt;"",T179=""),"rework reason missing; ",""))</f>
        <v/>
      </c>
    </row>
    <row r="180" customFormat="false" ht="15" hidden="false" customHeight="false" outlineLevel="0" collapsed="false">
      <c r="A180" s="18" t="str">
        <f aca="false">IF(B180="","",COUNTA(B$7:B180))</f>
        <v/>
      </c>
      <c r="B180" s="19"/>
      <c r="C180" s="20"/>
      <c r="D180" s="19" t="str">
        <f aca="false">IF(B180="","",IF(D179="",Report!$B$12,D179))</f>
        <v/>
      </c>
      <c r="E180" s="22" t="str">
        <f aca="false">IF(B180="","",IF(C180&lt;&gt;"",C180,E179+D179/1440+SUMIFS(Holds!$F$7:$F$46,Holds!$B$7:$B$46,"&gt;="&amp;E179,Holds!$B$7:$B$46,"&lt;"&amp;E179+D179/1440)/1440))</f>
        <v/>
      </c>
      <c r="F180" s="19"/>
      <c r="G180" s="19"/>
      <c r="H180" s="19"/>
      <c r="I180" s="19"/>
      <c r="J180" s="19"/>
      <c r="K180" s="19"/>
      <c r="L180" s="19"/>
      <c r="M180" s="19"/>
      <c r="N180" s="19"/>
      <c r="O180" s="18" t="str">
        <f aca="false">IF(F180="","",IFERROR(INDEX(Parts!$C$6:$C$45,MATCH(F180,Parts!$A$6:$A$45,0)),""))</f>
        <v/>
      </c>
      <c r="P180" s="18" t="str">
        <f aca="false">IF(F180="","",IFERROR(INDEX(Parts!$E$6:$E$45,MATCH(F180,Parts!$A$6:$A$45,0)),""))</f>
        <v/>
      </c>
      <c r="Q180" s="23" t="str">
        <f aca="false">IF(OR(J180="",P180="",P180=0),"",J180/P180+IF(OR(N180="",K180=""),0,IFERROR(N180/INDEX(Parts!$E$6:$E$45,MATCH(K180,Parts!$A$6:$A$45,0)),0)))</f>
        <v/>
      </c>
      <c r="R180" s="24" t="str">
        <f aca="false">IF(B180="","",IF(J180="",0,J180*IFERROR(INDEX(Parts!$F$6:$F$45,MATCH(F180,Parts!$A$6:$A$45,0)),0))+IF(N180="",0,N180*IFERROR(INDEX(Parts!$F$6:$F$45,MATCH(K180,Parts!$A$6:$A$45,0)),0)))</f>
        <v/>
      </c>
      <c r="S180" s="19"/>
      <c r="T180" s="19"/>
      <c r="U180" s="18" t="str">
        <f aca="false">IF(B180="","",IF(F180="",Settings!$B$9,IFERROR(INDEX(Parts!$H$6:$H$45,MATCH(F180,Parts!$A$6:$A$45,0))+0,Settings!$B$9)))</f>
        <v/>
      </c>
      <c r="V180" s="22" t="str">
        <f aca="false">IF(B180="","",IF(INDEX($E$7:$E$336,ROW()-6+Settings!$B$7)&lt;&gt;"",INDEX($E$7:$E$336,ROW()-6+Settings!$B$7),E180+Settings!$B$7*D180/1440))</f>
        <v/>
      </c>
      <c r="W180" s="22" t="str">
        <f aca="false">IF(B180="","",IF(INDEX($E$7:$E$336,ROW()-6+Settings!$B$7+Settings!$B$8)&lt;&gt;"",INDEX($E$7:$E$336,ROW()-6+Settings!$B$7+Settings!$B$8),E180+(Settings!$B$7+Settings!$B$8)*D180/1440)+U180/1440)</f>
        <v/>
      </c>
      <c r="X180" s="18" t="str">
        <f aca="false">IF(B180="","",IF(INDEX($E$7:$E$336,ROW()-6+Settings!$B$7+Settings!$B$8)&lt;&gt;"","line","estimate"))</f>
        <v/>
      </c>
      <c r="Y180" s="25" t="str">
        <f aca="false">IF(B180="","",INT(W180-Settings!$B$6))</f>
        <v/>
      </c>
      <c r="Z180" s="19"/>
      <c r="AA180" s="18" t="str">
        <f aca="false">IF(B180="","",IF(AND(B180&lt;&gt;"Empty",F180=""),"part missing; ","")&amp;IF(AND(F180&lt;&gt;"",J180=""),"pieces missing; ","")&amp;IF(AND(F180&lt;&gt;"",O180=""),"part not on the Parts sheet; ","")&amp;IF(AND(B180="Empty",OR(F180&lt;&gt;"",K180&lt;&gt;"")),"empty tray with parts; ","")&amp;IF(AND(B180="Loaded",K180&lt;&gt;""),"second part: type Mixed; ","")&amp;IF(AND(Q180&lt;&gt;"",N(Q180)&gt;1),"over 100 % of the spec load; ","")&amp;IF(N(R180)&gt;Settings!$B$10,"over the tray maximum (kg); ","")&amp;IF(AND(K180&lt;&gt;"",IFERROR(INDEX(Parts!$C$6:$C$45,MATCH(K180,Parts!$A$6:$A$45,0)),O180)&lt;&gt;O180),"different processes in one tray; ","")&amp;IF(AND(S180&lt;&gt;"",T180=""),"rework reason missing; ",""))</f>
        <v/>
      </c>
    </row>
    <row r="181" customFormat="false" ht="15" hidden="false" customHeight="false" outlineLevel="0" collapsed="false">
      <c r="A181" s="18" t="str">
        <f aca="false">IF(B181="","",COUNTA(B$7:B181))</f>
        <v/>
      </c>
      <c r="B181" s="19"/>
      <c r="C181" s="20"/>
      <c r="D181" s="19" t="str">
        <f aca="false">IF(B181="","",IF(D180="",Report!$B$12,D180))</f>
        <v/>
      </c>
      <c r="E181" s="22" t="str">
        <f aca="false">IF(B181="","",IF(C181&lt;&gt;"",C181,E180+D180/1440+SUMIFS(Holds!$F$7:$F$46,Holds!$B$7:$B$46,"&gt;="&amp;E180,Holds!$B$7:$B$46,"&lt;"&amp;E180+D180/1440)/1440))</f>
        <v/>
      </c>
      <c r="F181" s="19"/>
      <c r="G181" s="19"/>
      <c r="H181" s="19"/>
      <c r="I181" s="19"/>
      <c r="J181" s="19"/>
      <c r="K181" s="19"/>
      <c r="L181" s="19"/>
      <c r="M181" s="19"/>
      <c r="N181" s="19"/>
      <c r="O181" s="18" t="str">
        <f aca="false">IF(F181="","",IFERROR(INDEX(Parts!$C$6:$C$45,MATCH(F181,Parts!$A$6:$A$45,0)),""))</f>
        <v/>
      </c>
      <c r="P181" s="18" t="str">
        <f aca="false">IF(F181="","",IFERROR(INDEX(Parts!$E$6:$E$45,MATCH(F181,Parts!$A$6:$A$45,0)),""))</f>
        <v/>
      </c>
      <c r="Q181" s="23" t="str">
        <f aca="false">IF(OR(J181="",P181="",P181=0),"",J181/P181+IF(OR(N181="",K181=""),0,IFERROR(N181/INDEX(Parts!$E$6:$E$45,MATCH(K181,Parts!$A$6:$A$45,0)),0)))</f>
        <v/>
      </c>
      <c r="R181" s="24" t="str">
        <f aca="false">IF(B181="","",IF(J181="",0,J181*IFERROR(INDEX(Parts!$F$6:$F$45,MATCH(F181,Parts!$A$6:$A$45,0)),0))+IF(N181="",0,N181*IFERROR(INDEX(Parts!$F$6:$F$45,MATCH(K181,Parts!$A$6:$A$45,0)),0)))</f>
        <v/>
      </c>
      <c r="S181" s="19"/>
      <c r="T181" s="19"/>
      <c r="U181" s="18" t="str">
        <f aca="false">IF(B181="","",IF(F181="",Settings!$B$9,IFERROR(INDEX(Parts!$H$6:$H$45,MATCH(F181,Parts!$A$6:$A$45,0))+0,Settings!$B$9)))</f>
        <v/>
      </c>
      <c r="V181" s="22" t="str">
        <f aca="false">IF(B181="","",IF(INDEX($E$7:$E$336,ROW()-6+Settings!$B$7)&lt;&gt;"",INDEX($E$7:$E$336,ROW()-6+Settings!$B$7),E181+Settings!$B$7*D181/1440))</f>
        <v/>
      </c>
      <c r="W181" s="22" t="str">
        <f aca="false">IF(B181="","",IF(INDEX($E$7:$E$336,ROW()-6+Settings!$B$7+Settings!$B$8)&lt;&gt;"",INDEX($E$7:$E$336,ROW()-6+Settings!$B$7+Settings!$B$8),E181+(Settings!$B$7+Settings!$B$8)*D181/1440)+U181/1440)</f>
        <v/>
      </c>
      <c r="X181" s="18" t="str">
        <f aca="false">IF(B181="","",IF(INDEX($E$7:$E$336,ROW()-6+Settings!$B$7+Settings!$B$8)&lt;&gt;"","line","estimate"))</f>
        <v/>
      </c>
      <c r="Y181" s="25" t="str">
        <f aca="false">IF(B181="","",INT(W181-Settings!$B$6))</f>
        <v/>
      </c>
      <c r="Z181" s="19"/>
      <c r="AA181" s="18" t="str">
        <f aca="false">IF(B181="","",IF(AND(B181&lt;&gt;"Empty",F181=""),"part missing; ","")&amp;IF(AND(F181&lt;&gt;"",J181=""),"pieces missing; ","")&amp;IF(AND(F181&lt;&gt;"",O181=""),"part not on the Parts sheet; ","")&amp;IF(AND(B181="Empty",OR(F181&lt;&gt;"",K181&lt;&gt;"")),"empty tray with parts; ","")&amp;IF(AND(B181="Loaded",K181&lt;&gt;""),"second part: type Mixed; ","")&amp;IF(AND(Q181&lt;&gt;"",N(Q181)&gt;1),"over 100 % of the spec load; ","")&amp;IF(N(R181)&gt;Settings!$B$10,"over the tray maximum (kg); ","")&amp;IF(AND(K181&lt;&gt;"",IFERROR(INDEX(Parts!$C$6:$C$45,MATCH(K181,Parts!$A$6:$A$45,0)),O181)&lt;&gt;O181),"different processes in one tray; ","")&amp;IF(AND(S181&lt;&gt;"",T181=""),"rework reason missing; ",""))</f>
        <v/>
      </c>
    </row>
    <row r="182" customFormat="false" ht="15" hidden="false" customHeight="false" outlineLevel="0" collapsed="false">
      <c r="A182" s="18" t="str">
        <f aca="false">IF(B182="","",COUNTA(B$7:B182))</f>
        <v/>
      </c>
      <c r="B182" s="19"/>
      <c r="C182" s="20"/>
      <c r="D182" s="19" t="str">
        <f aca="false">IF(B182="","",IF(D181="",Report!$B$12,D181))</f>
        <v/>
      </c>
      <c r="E182" s="22" t="str">
        <f aca="false">IF(B182="","",IF(C182&lt;&gt;"",C182,E181+D181/1440+SUMIFS(Holds!$F$7:$F$46,Holds!$B$7:$B$46,"&gt;="&amp;E181,Holds!$B$7:$B$46,"&lt;"&amp;E181+D181/1440)/1440))</f>
        <v/>
      </c>
      <c r="F182" s="19"/>
      <c r="G182" s="19"/>
      <c r="H182" s="19"/>
      <c r="I182" s="19"/>
      <c r="J182" s="19"/>
      <c r="K182" s="19"/>
      <c r="L182" s="19"/>
      <c r="M182" s="19"/>
      <c r="N182" s="19"/>
      <c r="O182" s="18" t="str">
        <f aca="false">IF(F182="","",IFERROR(INDEX(Parts!$C$6:$C$45,MATCH(F182,Parts!$A$6:$A$45,0)),""))</f>
        <v/>
      </c>
      <c r="P182" s="18" t="str">
        <f aca="false">IF(F182="","",IFERROR(INDEX(Parts!$E$6:$E$45,MATCH(F182,Parts!$A$6:$A$45,0)),""))</f>
        <v/>
      </c>
      <c r="Q182" s="23" t="str">
        <f aca="false">IF(OR(J182="",P182="",P182=0),"",J182/P182+IF(OR(N182="",K182=""),0,IFERROR(N182/INDEX(Parts!$E$6:$E$45,MATCH(K182,Parts!$A$6:$A$45,0)),0)))</f>
        <v/>
      </c>
      <c r="R182" s="24" t="str">
        <f aca="false">IF(B182="","",IF(J182="",0,J182*IFERROR(INDEX(Parts!$F$6:$F$45,MATCH(F182,Parts!$A$6:$A$45,0)),0))+IF(N182="",0,N182*IFERROR(INDEX(Parts!$F$6:$F$45,MATCH(K182,Parts!$A$6:$A$45,0)),0)))</f>
        <v/>
      </c>
      <c r="S182" s="19"/>
      <c r="T182" s="19"/>
      <c r="U182" s="18" t="str">
        <f aca="false">IF(B182="","",IF(F182="",Settings!$B$9,IFERROR(INDEX(Parts!$H$6:$H$45,MATCH(F182,Parts!$A$6:$A$45,0))+0,Settings!$B$9)))</f>
        <v/>
      </c>
      <c r="V182" s="22" t="str">
        <f aca="false">IF(B182="","",IF(INDEX($E$7:$E$336,ROW()-6+Settings!$B$7)&lt;&gt;"",INDEX($E$7:$E$336,ROW()-6+Settings!$B$7),E182+Settings!$B$7*D182/1440))</f>
        <v/>
      </c>
      <c r="W182" s="22" t="str">
        <f aca="false">IF(B182="","",IF(INDEX($E$7:$E$336,ROW()-6+Settings!$B$7+Settings!$B$8)&lt;&gt;"",INDEX($E$7:$E$336,ROW()-6+Settings!$B$7+Settings!$B$8),E182+(Settings!$B$7+Settings!$B$8)*D182/1440)+U182/1440)</f>
        <v/>
      </c>
      <c r="X182" s="18" t="str">
        <f aca="false">IF(B182="","",IF(INDEX($E$7:$E$336,ROW()-6+Settings!$B$7+Settings!$B$8)&lt;&gt;"","line","estimate"))</f>
        <v/>
      </c>
      <c r="Y182" s="25" t="str">
        <f aca="false">IF(B182="","",INT(W182-Settings!$B$6))</f>
        <v/>
      </c>
      <c r="Z182" s="19"/>
      <c r="AA182" s="18" t="str">
        <f aca="false">IF(B182="","",IF(AND(B182&lt;&gt;"Empty",F182=""),"part missing; ","")&amp;IF(AND(F182&lt;&gt;"",J182=""),"pieces missing; ","")&amp;IF(AND(F182&lt;&gt;"",O182=""),"part not on the Parts sheet; ","")&amp;IF(AND(B182="Empty",OR(F182&lt;&gt;"",K182&lt;&gt;"")),"empty tray with parts; ","")&amp;IF(AND(B182="Loaded",K182&lt;&gt;""),"second part: type Mixed; ","")&amp;IF(AND(Q182&lt;&gt;"",N(Q182)&gt;1),"over 100 % of the spec load; ","")&amp;IF(N(R182)&gt;Settings!$B$10,"over the tray maximum (kg); ","")&amp;IF(AND(K182&lt;&gt;"",IFERROR(INDEX(Parts!$C$6:$C$45,MATCH(K182,Parts!$A$6:$A$45,0)),O182)&lt;&gt;O182),"different processes in one tray; ","")&amp;IF(AND(S182&lt;&gt;"",T182=""),"rework reason missing; ",""))</f>
        <v/>
      </c>
    </row>
    <row r="183" customFormat="false" ht="15" hidden="false" customHeight="false" outlineLevel="0" collapsed="false">
      <c r="A183" s="18" t="str">
        <f aca="false">IF(B183="","",COUNTA(B$7:B183))</f>
        <v/>
      </c>
      <c r="B183" s="19"/>
      <c r="C183" s="20"/>
      <c r="D183" s="19" t="str">
        <f aca="false">IF(B183="","",IF(D182="",Report!$B$12,D182))</f>
        <v/>
      </c>
      <c r="E183" s="22" t="str">
        <f aca="false">IF(B183="","",IF(C183&lt;&gt;"",C183,E182+D182/1440+SUMIFS(Holds!$F$7:$F$46,Holds!$B$7:$B$46,"&gt;="&amp;E182,Holds!$B$7:$B$46,"&lt;"&amp;E182+D182/1440)/1440))</f>
        <v/>
      </c>
      <c r="F183" s="19"/>
      <c r="G183" s="19"/>
      <c r="H183" s="19"/>
      <c r="I183" s="19"/>
      <c r="J183" s="19"/>
      <c r="K183" s="19"/>
      <c r="L183" s="19"/>
      <c r="M183" s="19"/>
      <c r="N183" s="19"/>
      <c r="O183" s="18" t="str">
        <f aca="false">IF(F183="","",IFERROR(INDEX(Parts!$C$6:$C$45,MATCH(F183,Parts!$A$6:$A$45,0)),""))</f>
        <v/>
      </c>
      <c r="P183" s="18" t="str">
        <f aca="false">IF(F183="","",IFERROR(INDEX(Parts!$E$6:$E$45,MATCH(F183,Parts!$A$6:$A$45,0)),""))</f>
        <v/>
      </c>
      <c r="Q183" s="23" t="str">
        <f aca="false">IF(OR(J183="",P183="",P183=0),"",J183/P183+IF(OR(N183="",K183=""),0,IFERROR(N183/INDEX(Parts!$E$6:$E$45,MATCH(K183,Parts!$A$6:$A$45,0)),0)))</f>
        <v/>
      </c>
      <c r="R183" s="24" t="str">
        <f aca="false">IF(B183="","",IF(J183="",0,J183*IFERROR(INDEX(Parts!$F$6:$F$45,MATCH(F183,Parts!$A$6:$A$45,0)),0))+IF(N183="",0,N183*IFERROR(INDEX(Parts!$F$6:$F$45,MATCH(K183,Parts!$A$6:$A$45,0)),0)))</f>
        <v/>
      </c>
      <c r="S183" s="19"/>
      <c r="T183" s="19"/>
      <c r="U183" s="18" t="str">
        <f aca="false">IF(B183="","",IF(F183="",Settings!$B$9,IFERROR(INDEX(Parts!$H$6:$H$45,MATCH(F183,Parts!$A$6:$A$45,0))+0,Settings!$B$9)))</f>
        <v/>
      </c>
      <c r="V183" s="22" t="str">
        <f aca="false">IF(B183="","",IF(INDEX($E$7:$E$336,ROW()-6+Settings!$B$7)&lt;&gt;"",INDEX($E$7:$E$336,ROW()-6+Settings!$B$7),E183+Settings!$B$7*D183/1440))</f>
        <v/>
      </c>
      <c r="W183" s="22" t="str">
        <f aca="false">IF(B183="","",IF(INDEX($E$7:$E$336,ROW()-6+Settings!$B$7+Settings!$B$8)&lt;&gt;"",INDEX($E$7:$E$336,ROW()-6+Settings!$B$7+Settings!$B$8),E183+(Settings!$B$7+Settings!$B$8)*D183/1440)+U183/1440)</f>
        <v/>
      </c>
      <c r="X183" s="18" t="str">
        <f aca="false">IF(B183="","",IF(INDEX($E$7:$E$336,ROW()-6+Settings!$B$7+Settings!$B$8)&lt;&gt;"","line","estimate"))</f>
        <v/>
      </c>
      <c r="Y183" s="25" t="str">
        <f aca="false">IF(B183="","",INT(W183-Settings!$B$6))</f>
        <v/>
      </c>
      <c r="Z183" s="19"/>
      <c r="AA183" s="18" t="str">
        <f aca="false">IF(B183="","",IF(AND(B183&lt;&gt;"Empty",F183=""),"part missing; ","")&amp;IF(AND(F183&lt;&gt;"",J183=""),"pieces missing; ","")&amp;IF(AND(F183&lt;&gt;"",O183=""),"part not on the Parts sheet; ","")&amp;IF(AND(B183="Empty",OR(F183&lt;&gt;"",K183&lt;&gt;"")),"empty tray with parts; ","")&amp;IF(AND(B183="Loaded",K183&lt;&gt;""),"second part: type Mixed; ","")&amp;IF(AND(Q183&lt;&gt;"",N(Q183)&gt;1),"over 100 % of the spec load; ","")&amp;IF(N(R183)&gt;Settings!$B$10,"over the tray maximum (kg); ","")&amp;IF(AND(K183&lt;&gt;"",IFERROR(INDEX(Parts!$C$6:$C$45,MATCH(K183,Parts!$A$6:$A$45,0)),O183)&lt;&gt;O183),"different processes in one tray; ","")&amp;IF(AND(S183&lt;&gt;"",T183=""),"rework reason missing; ",""))</f>
        <v/>
      </c>
    </row>
    <row r="184" customFormat="false" ht="15" hidden="false" customHeight="false" outlineLevel="0" collapsed="false">
      <c r="A184" s="18" t="str">
        <f aca="false">IF(B184="","",COUNTA(B$7:B184))</f>
        <v/>
      </c>
      <c r="B184" s="19"/>
      <c r="C184" s="20"/>
      <c r="D184" s="19" t="str">
        <f aca="false">IF(B184="","",IF(D183="",Report!$B$12,D183))</f>
        <v/>
      </c>
      <c r="E184" s="22" t="str">
        <f aca="false">IF(B184="","",IF(C184&lt;&gt;"",C184,E183+D183/1440+SUMIFS(Holds!$F$7:$F$46,Holds!$B$7:$B$46,"&gt;="&amp;E183,Holds!$B$7:$B$46,"&lt;"&amp;E183+D183/1440)/1440))</f>
        <v/>
      </c>
      <c r="F184" s="19"/>
      <c r="G184" s="19"/>
      <c r="H184" s="19"/>
      <c r="I184" s="19"/>
      <c r="J184" s="19"/>
      <c r="K184" s="19"/>
      <c r="L184" s="19"/>
      <c r="M184" s="19"/>
      <c r="N184" s="19"/>
      <c r="O184" s="18" t="str">
        <f aca="false">IF(F184="","",IFERROR(INDEX(Parts!$C$6:$C$45,MATCH(F184,Parts!$A$6:$A$45,0)),""))</f>
        <v/>
      </c>
      <c r="P184" s="18" t="str">
        <f aca="false">IF(F184="","",IFERROR(INDEX(Parts!$E$6:$E$45,MATCH(F184,Parts!$A$6:$A$45,0)),""))</f>
        <v/>
      </c>
      <c r="Q184" s="23" t="str">
        <f aca="false">IF(OR(J184="",P184="",P184=0),"",J184/P184+IF(OR(N184="",K184=""),0,IFERROR(N184/INDEX(Parts!$E$6:$E$45,MATCH(K184,Parts!$A$6:$A$45,0)),0)))</f>
        <v/>
      </c>
      <c r="R184" s="24" t="str">
        <f aca="false">IF(B184="","",IF(J184="",0,J184*IFERROR(INDEX(Parts!$F$6:$F$45,MATCH(F184,Parts!$A$6:$A$45,0)),0))+IF(N184="",0,N184*IFERROR(INDEX(Parts!$F$6:$F$45,MATCH(K184,Parts!$A$6:$A$45,0)),0)))</f>
        <v/>
      </c>
      <c r="S184" s="19"/>
      <c r="T184" s="19"/>
      <c r="U184" s="18" t="str">
        <f aca="false">IF(B184="","",IF(F184="",Settings!$B$9,IFERROR(INDEX(Parts!$H$6:$H$45,MATCH(F184,Parts!$A$6:$A$45,0))+0,Settings!$B$9)))</f>
        <v/>
      </c>
      <c r="V184" s="22" t="str">
        <f aca="false">IF(B184="","",IF(INDEX($E$7:$E$336,ROW()-6+Settings!$B$7)&lt;&gt;"",INDEX($E$7:$E$336,ROW()-6+Settings!$B$7),E184+Settings!$B$7*D184/1440))</f>
        <v/>
      </c>
      <c r="W184" s="22" t="str">
        <f aca="false">IF(B184="","",IF(INDEX($E$7:$E$336,ROW()-6+Settings!$B$7+Settings!$B$8)&lt;&gt;"",INDEX($E$7:$E$336,ROW()-6+Settings!$B$7+Settings!$B$8),E184+(Settings!$B$7+Settings!$B$8)*D184/1440)+U184/1440)</f>
        <v/>
      </c>
      <c r="X184" s="18" t="str">
        <f aca="false">IF(B184="","",IF(INDEX($E$7:$E$336,ROW()-6+Settings!$B$7+Settings!$B$8)&lt;&gt;"","line","estimate"))</f>
        <v/>
      </c>
      <c r="Y184" s="25" t="str">
        <f aca="false">IF(B184="","",INT(W184-Settings!$B$6))</f>
        <v/>
      </c>
      <c r="Z184" s="19"/>
      <c r="AA184" s="18" t="str">
        <f aca="false">IF(B184="","",IF(AND(B184&lt;&gt;"Empty",F184=""),"part missing; ","")&amp;IF(AND(F184&lt;&gt;"",J184=""),"pieces missing; ","")&amp;IF(AND(F184&lt;&gt;"",O184=""),"part not on the Parts sheet; ","")&amp;IF(AND(B184="Empty",OR(F184&lt;&gt;"",K184&lt;&gt;"")),"empty tray with parts; ","")&amp;IF(AND(B184="Loaded",K184&lt;&gt;""),"second part: type Mixed; ","")&amp;IF(AND(Q184&lt;&gt;"",N(Q184)&gt;1),"over 100 % of the spec load; ","")&amp;IF(N(R184)&gt;Settings!$B$10,"over the tray maximum (kg); ","")&amp;IF(AND(K184&lt;&gt;"",IFERROR(INDEX(Parts!$C$6:$C$45,MATCH(K184,Parts!$A$6:$A$45,0)),O184)&lt;&gt;O184),"different processes in one tray; ","")&amp;IF(AND(S184&lt;&gt;"",T184=""),"rework reason missing; ",""))</f>
        <v/>
      </c>
    </row>
    <row r="185" customFormat="false" ht="15" hidden="false" customHeight="false" outlineLevel="0" collapsed="false">
      <c r="A185" s="18" t="str">
        <f aca="false">IF(B185="","",COUNTA(B$7:B185))</f>
        <v/>
      </c>
      <c r="B185" s="19"/>
      <c r="C185" s="20"/>
      <c r="D185" s="19" t="str">
        <f aca="false">IF(B185="","",IF(D184="",Report!$B$12,D184))</f>
        <v/>
      </c>
      <c r="E185" s="22" t="str">
        <f aca="false">IF(B185="","",IF(C185&lt;&gt;"",C185,E184+D184/1440+SUMIFS(Holds!$F$7:$F$46,Holds!$B$7:$B$46,"&gt;="&amp;E184,Holds!$B$7:$B$46,"&lt;"&amp;E184+D184/1440)/1440))</f>
        <v/>
      </c>
      <c r="F185" s="19"/>
      <c r="G185" s="19"/>
      <c r="H185" s="19"/>
      <c r="I185" s="19"/>
      <c r="J185" s="19"/>
      <c r="K185" s="19"/>
      <c r="L185" s="19"/>
      <c r="M185" s="19"/>
      <c r="N185" s="19"/>
      <c r="O185" s="18" t="str">
        <f aca="false">IF(F185="","",IFERROR(INDEX(Parts!$C$6:$C$45,MATCH(F185,Parts!$A$6:$A$45,0)),""))</f>
        <v/>
      </c>
      <c r="P185" s="18" t="str">
        <f aca="false">IF(F185="","",IFERROR(INDEX(Parts!$E$6:$E$45,MATCH(F185,Parts!$A$6:$A$45,0)),""))</f>
        <v/>
      </c>
      <c r="Q185" s="23" t="str">
        <f aca="false">IF(OR(J185="",P185="",P185=0),"",J185/P185+IF(OR(N185="",K185=""),0,IFERROR(N185/INDEX(Parts!$E$6:$E$45,MATCH(K185,Parts!$A$6:$A$45,0)),0)))</f>
        <v/>
      </c>
      <c r="R185" s="24" t="str">
        <f aca="false">IF(B185="","",IF(J185="",0,J185*IFERROR(INDEX(Parts!$F$6:$F$45,MATCH(F185,Parts!$A$6:$A$45,0)),0))+IF(N185="",0,N185*IFERROR(INDEX(Parts!$F$6:$F$45,MATCH(K185,Parts!$A$6:$A$45,0)),0)))</f>
        <v/>
      </c>
      <c r="S185" s="19"/>
      <c r="T185" s="19"/>
      <c r="U185" s="18" t="str">
        <f aca="false">IF(B185="","",IF(F185="",Settings!$B$9,IFERROR(INDEX(Parts!$H$6:$H$45,MATCH(F185,Parts!$A$6:$A$45,0))+0,Settings!$B$9)))</f>
        <v/>
      </c>
      <c r="V185" s="22" t="str">
        <f aca="false">IF(B185="","",IF(INDEX($E$7:$E$336,ROW()-6+Settings!$B$7)&lt;&gt;"",INDEX($E$7:$E$336,ROW()-6+Settings!$B$7),E185+Settings!$B$7*D185/1440))</f>
        <v/>
      </c>
      <c r="W185" s="22" t="str">
        <f aca="false">IF(B185="","",IF(INDEX($E$7:$E$336,ROW()-6+Settings!$B$7+Settings!$B$8)&lt;&gt;"",INDEX($E$7:$E$336,ROW()-6+Settings!$B$7+Settings!$B$8),E185+(Settings!$B$7+Settings!$B$8)*D185/1440)+U185/1440)</f>
        <v/>
      </c>
      <c r="X185" s="18" t="str">
        <f aca="false">IF(B185="","",IF(INDEX($E$7:$E$336,ROW()-6+Settings!$B$7+Settings!$B$8)&lt;&gt;"","line","estimate"))</f>
        <v/>
      </c>
      <c r="Y185" s="25" t="str">
        <f aca="false">IF(B185="","",INT(W185-Settings!$B$6))</f>
        <v/>
      </c>
      <c r="Z185" s="19"/>
      <c r="AA185" s="18" t="str">
        <f aca="false">IF(B185="","",IF(AND(B185&lt;&gt;"Empty",F185=""),"part missing; ","")&amp;IF(AND(F185&lt;&gt;"",J185=""),"pieces missing; ","")&amp;IF(AND(F185&lt;&gt;"",O185=""),"part not on the Parts sheet; ","")&amp;IF(AND(B185="Empty",OR(F185&lt;&gt;"",K185&lt;&gt;"")),"empty tray with parts; ","")&amp;IF(AND(B185="Loaded",K185&lt;&gt;""),"second part: type Mixed; ","")&amp;IF(AND(Q185&lt;&gt;"",N(Q185)&gt;1),"over 100 % of the spec load; ","")&amp;IF(N(R185)&gt;Settings!$B$10,"over the tray maximum (kg); ","")&amp;IF(AND(K185&lt;&gt;"",IFERROR(INDEX(Parts!$C$6:$C$45,MATCH(K185,Parts!$A$6:$A$45,0)),O185)&lt;&gt;O185),"different processes in one tray; ","")&amp;IF(AND(S185&lt;&gt;"",T185=""),"rework reason missing; ",""))</f>
        <v/>
      </c>
    </row>
    <row r="186" customFormat="false" ht="15" hidden="false" customHeight="false" outlineLevel="0" collapsed="false">
      <c r="A186" s="18" t="str">
        <f aca="false">IF(B186="","",COUNTA(B$7:B186))</f>
        <v/>
      </c>
      <c r="B186" s="19"/>
      <c r="C186" s="20"/>
      <c r="D186" s="19" t="str">
        <f aca="false">IF(B186="","",IF(D185="",Report!$B$12,D185))</f>
        <v/>
      </c>
      <c r="E186" s="22" t="str">
        <f aca="false">IF(B186="","",IF(C186&lt;&gt;"",C186,E185+D185/1440+SUMIFS(Holds!$F$7:$F$46,Holds!$B$7:$B$46,"&gt;="&amp;E185,Holds!$B$7:$B$46,"&lt;"&amp;E185+D185/1440)/1440))</f>
        <v/>
      </c>
      <c r="F186" s="19"/>
      <c r="G186" s="19"/>
      <c r="H186" s="19"/>
      <c r="I186" s="19"/>
      <c r="J186" s="19"/>
      <c r="K186" s="19"/>
      <c r="L186" s="19"/>
      <c r="M186" s="19"/>
      <c r="N186" s="19"/>
      <c r="O186" s="18" t="str">
        <f aca="false">IF(F186="","",IFERROR(INDEX(Parts!$C$6:$C$45,MATCH(F186,Parts!$A$6:$A$45,0)),""))</f>
        <v/>
      </c>
      <c r="P186" s="18" t="str">
        <f aca="false">IF(F186="","",IFERROR(INDEX(Parts!$E$6:$E$45,MATCH(F186,Parts!$A$6:$A$45,0)),""))</f>
        <v/>
      </c>
      <c r="Q186" s="23" t="str">
        <f aca="false">IF(OR(J186="",P186="",P186=0),"",J186/P186+IF(OR(N186="",K186=""),0,IFERROR(N186/INDEX(Parts!$E$6:$E$45,MATCH(K186,Parts!$A$6:$A$45,0)),0)))</f>
        <v/>
      </c>
      <c r="R186" s="24" t="str">
        <f aca="false">IF(B186="","",IF(J186="",0,J186*IFERROR(INDEX(Parts!$F$6:$F$45,MATCH(F186,Parts!$A$6:$A$45,0)),0))+IF(N186="",0,N186*IFERROR(INDEX(Parts!$F$6:$F$45,MATCH(K186,Parts!$A$6:$A$45,0)),0)))</f>
        <v/>
      </c>
      <c r="S186" s="19"/>
      <c r="T186" s="19"/>
      <c r="U186" s="18" t="str">
        <f aca="false">IF(B186="","",IF(F186="",Settings!$B$9,IFERROR(INDEX(Parts!$H$6:$H$45,MATCH(F186,Parts!$A$6:$A$45,0))+0,Settings!$B$9)))</f>
        <v/>
      </c>
      <c r="V186" s="22" t="str">
        <f aca="false">IF(B186="","",IF(INDEX($E$7:$E$336,ROW()-6+Settings!$B$7)&lt;&gt;"",INDEX($E$7:$E$336,ROW()-6+Settings!$B$7),E186+Settings!$B$7*D186/1440))</f>
        <v/>
      </c>
      <c r="W186" s="22" t="str">
        <f aca="false">IF(B186="","",IF(INDEX($E$7:$E$336,ROW()-6+Settings!$B$7+Settings!$B$8)&lt;&gt;"",INDEX($E$7:$E$336,ROW()-6+Settings!$B$7+Settings!$B$8),E186+(Settings!$B$7+Settings!$B$8)*D186/1440)+U186/1440)</f>
        <v/>
      </c>
      <c r="X186" s="18" t="str">
        <f aca="false">IF(B186="","",IF(INDEX($E$7:$E$336,ROW()-6+Settings!$B$7+Settings!$B$8)&lt;&gt;"","line","estimate"))</f>
        <v/>
      </c>
      <c r="Y186" s="25" t="str">
        <f aca="false">IF(B186="","",INT(W186-Settings!$B$6))</f>
        <v/>
      </c>
      <c r="Z186" s="19"/>
      <c r="AA186" s="18" t="str">
        <f aca="false">IF(B186="","",IF(AND(B186&lt;&gt;"Empty",F186=""),"part missing; ","")&amp;IF(AND(F186&lt;&gt;"",J186=""),"pieces missing; ","")&amp;IF(AND(F186&lt;&gt;"",O186=""),"part not on the Parts sheet; ","")&amp;IF(AND(B186="Empty",OR(F186&lt;&gt;"",K186&lt;&gt;"")),"empty tray with parts; ","")&amp;IF(AND(B186="Loaded",K186&lt;&gt;""),"second part: type Mixed; ","")&amp;IF(AND(Q186&lt;&gt;"",N(Q186)&gt;1),"over 100 % of the spec load; ","")&amp;IF(N(R186)&gt;Settings!$B$10,"over the tray maximum (kg); ","")&amp;IF(AND(K186&lt;&gt;"",IFERROR(INDEX(Parts!$C$6:$C$45,MATCH(K186,Parts!$A$6:$A$45,0)),O186)&lt;&gt;O186),"different processes in one tray; ","")&amp;IF(AND(S186&lt;&gt;"",T186=""),"rework reason missing; ",""))</f>
        <v/>
      </c>
    </row>
    <row r="187" customFormat="false" ht="15" hidden="false" customHeight="false" outlineLevel="0" collapsed="false">
      <c r="A187" s="18" t="str">
        <f aca="false">IF(B187="","",COUNTA(B$7:B187))</f>
        <v/>
      </c>
      <c r="B187" s="19"/>
      <c r="C187" s="20"/>
      <c r="D187" s="19" t="str">
        <f aca="false">IF(B187="","",IF(D186="",Report!$B$12,D186))</f>
        <v/>
      </c>
      <c r="E187" s="22" t="str">
        <f aca="false">IF(B187="","",IF(C187&lt;&gt;"",C187,E186+D186/1440+SUMIFS(Holds!$F$7:$F$46,Holds!$B$7:$B$46,"&gt;="&amp;E186,Holds!$B$7:$B$46,"&lt;"&amp;E186+D186/1440)/1440))</f>
        <v/>
      </c>
      <c r="F187" s="19"/>
      <c r="G187" s="19"/>
      <c r="H187" s="19"/>
      <c r="I187" s="19"/>
      <c r="J187" s="19"/>
      <c r="K187" s="19"/>
      <c r="L187" s="19"/>
      <c r="M187" s="19"/>
      <c r="N187" s="19"/>
      <c r="O187" s="18" t="str">
        <f aca="false">IF(F187="","",IFERROR(INDEX(Parts!$C$6:$C$45,MATCH(F187,Parts!$A$6:$A$45,0)),""))</f>
        <v/>
      </c>
      <c r="P187" s="18" t="str">
        <f aca="false">IF(F187="","",IFERROR(INDEX(Parts!$E$6:$E$45,MATCH(F187,Parts!$A$6:$A$45,0)),""))</f>
        <v/>
      </c>
      <c r="Q187" s="23" t="str">
        <f aca="false">IF(OR(J187="",P187="",P187=0),"",J187/P187+IF(OR(N187="",K187=""),0,IFERROR(N187/INDEX(Parts!$E$6:$E$45,MATCH(K187,Parts!$A$6:$A$45,0)),0)))</f>
        <v/>
      </c>
      <c r="R187" s="24" t="str">
        <f aca="false">IF(B187="","",IF(J187="",0,J187*IFERROR(INDEX(Parts!$F$6:$F$45,MATCH(F187,Parts!$A$6:$A$45,0)),0))+IF(N187="",0,N187*IFERROR(INDEX(Parts!$F$6:$F$45,MATCH(K187,Parts!$A$6:$A$45,0)),0)))</f>
        <v/>
      </c>
      <c r="S187" s="19"/>
      <c r="T187" s="19"/>
      <c r="U187" s="18" t="str">
        <f aca="false">IF(B187="","",IF(F187="",Settings!$B$9,IFERROR(INDEX(Parts!$H$6:$H$45,MATCH(F187,Parts!$A$6:$A$45,0))+0,Settings!$B$9)))</f>
        <v/>
      </c>
      <c r="V187" s="22" t="str">
        <f aca="false">IF(B187="","",IF(INDEX($E$7:$E$336,ROW()-6+Settings!$B$7)&lt;&gt;"",INDEX($E$7:$E$336,ROW()-6+Settings!$B$7),E187+Settings!$B$7*D187/1440))</f>
        <v/>
      </c>
      <c r="W187" s="22" t="str">
        <f aca="false">IF(B187="","",IF(INDEX($E$7:$E$336,ROW()-6+Settings!$B$7+Settings!$B$8)&lt;&gt;"",INDEX($E$7:$E$336,ROW()-6+Settings!$B$7+Settings!$B$8),E187+(Settings!$B$7+Settings!$B$8)*D187/1440)+U187/1440)</f>
        <v/>
      </c>
      <c r="X187" s="18" t="str">
        <f aca="false">IF(B187="","",IF(INDEX($E$7:$E$336,ROW()-6+Settings!$B$7+Settings!$B$8)&lt;&gt;"","line","estimate"))</f>
        <v/>
      </c>
      <c r="Y187" s="25" t="str">
        <f aca="false">IF(B187="","",INT(W187-Settings!$B$6))</f>
        <v/>
      </c>
      <c r="Z187" s="19"/>
      <c r="AA187" s="18" t="str">
        <f aca="false">IF(B187="","",IF(AND(B187&lt;&gt;"Empty",F187=""),"part missing; ","")&amp;IF(AND(F187&lt;&gt;"",J187=""),"pieces missing; ","")&amp;IF(AND(F187&lt;&gt;"",O187=""),"part not on the Parts sheet; ","")&amp;IF(AND(B187="Empty",OR(F187&lt;&gt;"",K187&lt;&gt;"")),"empty tray with parts; ","")&amp;IF(AND(B187="Loaded",K187&lt;&gt;""),"second part: type Mixed; ","")&amp;IF(AND(Q187&lt;&gt;"",N(Q187)&gt;1),"over 100 % of the spec load; ","")&amp;IF(N(R187)&gt;Settings!$B$10,"over the tray maximum (kg); ","")&amp;IF(AND(K187&lt;&gt;"",IFERROR(INDEX(Parts!$C$6:$C$45,MATCH(K187,Parts!$A$6:$A$45,0)),O187)&lt;&gt;O187),"different processes in one tray; ","")&amp;IF(AND(S187&lt;&gt;"",T187=""),"rework reason missing; ",""))</f>
        <v/>
      </c>
    </row>
    <row r="188" customFormat="false" ht="15" hidden="false" customHeight="false" outlineLevel="0" collapsed="false">
      <c r="A188" s="18" t="str">
        <f aca="false">IF(B188="","",COUNTA(B$7:B188))</f>
        <v/>
      </c>
      <c r="B188" s="19"/>
      <c r="C188" s="20"/>
      <c r="D188" s="19" t="str">
        <f aca="false">IF(B188="","",IF(D187="",Report!$B$12,D187))</f>
        <v/>
      </c>
      <c r="E188" s="22" t="str">
        <f aca="false">IF(B188="","",IF(C188&lt;&gt;"",C188,E187+D187/1440+SUMIFS(Holds!$F$7:$F$46,Holds!$B$7:$B$46,"&gt;="&amp;E187,Holds!$B$7:$B$46,"&lt;"&amp;E187+D187/1440)/1440))</f>
        <v/>
      </c>
      <c r="F188" s="19"/>
      <c r="G188" s="19"/>
      <c r="H188" s="19"/>
      <c r="I188" s="19"/>
      <c r="J188" s="19"/>
      <c r="K188" s="19"/>
      <c r="L188" s="19"/>
      <c r="M188" s="19"/>
      <c r="N188" s="19"/>
      <c r="O188" s="18" t="str">
        <f aca="false">IF(F188="","",IFERROR(INDEX(Parts!$C$6:$C$45,MATCH(F188,Parts!$A$6:$A$45,0)),""))</f>
        <v/>
      </c>
      <c r="P188" s="18" t="str">
        <f aca="false">IF(F188="","",IFERROR(INDEX(Parts!$E$6:$E$45,MATCH(F188,Parts!$A$6:$A$45,0)),""))</f>
        <v/>
      </c>
      <c r="Q188" s="23" t="str">
        <f aca="false">IF(OR(J188="",P188="",P188=0),"",J188/P188+IF(OR(N188="",K188=""),0,IFERROR(N188/INDEX(Parts!$E$6:$E$45,MATCH(K188,Parts!$A$6:$A$45,0)),0)))</f>
        <v/>
      </c>
      <c r="R188" s="24" t="str">
        <f aca="false">IF(B188="","",IF(J188="",0,J188*IFERROR(INDEX(Parts!$F$6:$F$45,MATCH(F188,Parts!$A$6:$A$45,0)),0))+IF(N188="",0,N188*IFERROR(INDEX(Parts!$F$6:$F$45,MATCH(K188,Parts!$A$6:$A$45,0)),0)))</f>
        <v/>
      </c>
      <c r="S188" s="19"/>
      <c r="T188" s="19"/>
      <c r="U188" s="18" t="str">
        <f aca="false">IF(B188="","",IF(F188="",Settings!$B$9,IFERROR(INDEX(Parts!$H$6:$H$45,MATCH(F188,Parts!$A$6:$A$45,0))+0,Settings!$B$9)))</f>
        <v/>
      </c>
      <c r="V188" s="22" t="str">
        <f aca="false">IF(B188="","",IF(INDEX($E$7:$E$336,ROW()-6+Settings!$B$7)&lt;&gt;"",INDEX($E$7:$E$336,ROW()-6+Settings!$B$7),E188+Settings!$B$7*D188/1440))</f>
        <v/>
      </c>
      <c r="W188" s="22" t="str">
        <f aca="false">IF(B188="","",IF(INDEX($E$7:$E$336,ROW()-6+Settings!$B$7+Settings!$B$8)&lt;&gt;"",INDEX($E$7:$E$336,ROW()-6+Settings!$B$7+Settings!$B$8),E188+(Settings!$B$7+Settings!$B$8)*D188/1440)+U188/1440)</f>
        <v/>
      </c>
      <c r="X188" s="18" t="str">
        <f aca="false">IF(B188="","",IF(INDEX($E$7:$E$336,ROW()-6+Settings!$B$7+Settings!$B$8)&lt;&gt;"","line","estimate"))</f>
        <v/>
      </c>
      <c r="Y188" s="25" t="str">
        <f aca="false">IF(B188="","",INT(W188-Settings!$B$6))</f>
        <v/>
      </c>
      <c r="Z188" s="19"/>
      <c r="AA188" s="18" t="str">
        <f aca="false">IF(B188="","",IF(AND(B188&lt;&gt;"Empty",F188=""),"part missing; ","")&amp;IF(AND(F188&lt;&gt;"",J188=""),"pieces missing; ","")&amp;IF(AND(F188&lt;&gt;"",O188=""),"part not on the Parts sheet; ","")&amp;IF(AND(B188="Empty",OR(F188&lt;&gt;"",K188&lt;&gt;"")),"empty tray with parts; ","")&amp;IF(AND(B188="Loaded",K188&lt;&gt;""),"second part: type Mixed; ","")&amp;IF(AND(Q188&lt;&gt;"",N(Q188)&gt;1),"over 100 % of the spec load; ","")&amp;IF(N(R188)&gt;Settings!$B$10,"over the tray maximum (kg); ","")&amp;IF(AND(K188&lt;&gt;"",IFERROR(INDEX(Parts!$C$6:$C$45,MATCH(K188,Parts!$A$6:$A$45,0)),O188)&lt;&gt;O188),"different processes in one tray; ","")&amp;IF(AND(S188&lt;&gt;"",T188=""),"rework reason missing; ",""))</f>
        <v/>
      </c>
    </row>
    <row r="189" customFormat="false" ht="15" hidden="false" customHeight="false" outlineLevel="0" collapsed="false">
      <c r="A189" s="18" t="str">
        <f aca="false">IF(B189="","",COUNTA(B$7:B189))</f>
        <v/>
      </c>
      <c r="B189" s="19"/>
      <c r="C189" s="20"/>
      <c r="D189" s="19" t="str">
        <f aca="false">IF(B189="","",IF(D188="",Report!$B$12,D188))</f>
        <v/>
      </c>
      <c r="E189" s="22" t="str">
        <f aca="false">IF(B189="","",IF(C189&lt;&gt;"",C189,E188+D188/1440+SUMIFS(Holds!$F$7:$F$46,Holds!$B$7:$B$46,"&gt;="&amp;E188,Holds!$B$7:$B$46,"&lt;"&amp;E188+D188/1440)/1440))</f>
        <v/>
      </c>
      <c r="F189" s="19"/>
      <c r="G189" s="19"/>
      <c r="H189" s="19"/>
      <c r="I189" s="19"/>
      <c r="J189" s="19"/>
      <c r="K189" s="19"/>
      <c r="L189" s="19"/>
      <c r="M189" s="19"/>
      <c r="N189" s="19"/>
      <c r="O189" s="18" t="str">
        <f aca="false">IF(F189="","",IFERROR(INDEX(Parts!$C$6:$C$45,MATCH(F189,Parts!$A$6:$A$45,0)),""))</f>
        <v/>
      </c>
      <c r="P189" s="18" t="str">
        <f aca="false">IF(F189="","",IFERROR(INDEX(Parts!$E$6:$E$45,MATCH(F189,Parts!$A$6:$A$45,0)),""))</f>
        <v/>
      </c>
      <c r="Q189" s="23" t="str">
        <f aca="false">IF(OR(J189="",P189="",P189=0),"",J189/P189+IF(OR(N189="",K189=""),0,IFERROR(N189/INDEX(Parts!$E$6:$E$45,MATCH(K189,Parts!$A$6:$A$45,0)),0)))</f>
        <v/>
      </c>
      <c r="R189" s="24" t="str">
        <f aca="false">IF(B189="","",IF(J189="",0,J189*IFERROR(INDEX(Parts!$F$6:$F$45,MATCH(F189,Parts!$A$6:$A$45,0)),0))+IF(N189="",0,N189*IFERROR(INDEX(Parts!$F$6:$F$45,MATCH(K189,Parts!$A$6:$A$45,0)),0)))</f>
        <v/>
      </c>
      <c r="S189" s="19"/>
      <c r="T189" s="19"/>
      <c r="U189" s="18" t="str">
        <f aca="false">IF(B189="","",IF(F189="",Settings!$B$9,IFERROR(INDEX(Parts!$H$6:$H$45,MATCH(F189,Parts!$A$6:$A$45,0))+0,Settings!$B$9)))</f>
        <v/>
      </c>
      <c r="V189" s="22" t="str">
        <f aca="false">IF(B189="","",IF(INDEX($E$7:$E$336,ROW()-6+Settings!$B$7)&lt;&gt;"",INDEX($E$7:$E$336,ROW()-6+Settings!$B$7),E189+Settings!$B$7*D189/1440))</f>
        <v/>
      </c>
      <c r="W189" s="22" t="str">
        <f aca="false">IF(B189="","",IF(INDEX($E$7:$E$336,ROW()-6+Settings!$B$7+Settings!$B$8)&lt;&gt;"",INDEX($E$7:$E$336,ROW()-6+Settings!$B$7+Settings!$B$8),E189+(Settings!$B$7+Settings!$B$8)*D189/1440)+U189/1440)</f>
        <v/>
      </c>
      <c r="X189" s="18" t="str">
        <f aca="false">IF(B189="","",IF(INDEX($E$7:$E$336,ROW()-6+Settings!$B$7+Settings!$B$8)&lt;&gt;"","line","estimate"))</f>
        <v/>
      </c>
      <c r="Y189" s="25" t="str">
        <f aca="false">IF(B189="","",INT(W189-Settings!$B$6))</f>
        <v/>
      </c>
      <c r="Z189" s="19"/>
      <c r="AA189" s="18" t="str">
        <f aca="false">IF(B189="","",IF(AND(B189&lt;&gt;"Empty",F189=""),"part missing; ","")&amp;IF(AND(F189&lt;&gt;"",J189=""),"pieces missing; ","")&amp;IF(AND(F189&lt;&gt;"",O189=""),"part not on the Parts sheet; ","")&amp;IF(AND(B189="Empty",OR(F189&lt;&gt;"",K189&lt;&gt;"")),"empty tray with parts; ","")&amp;IF(AND(B189="Loaded",K189&lt;&gt;""),"second part: type Mixed; ","")&amp;IF(AND(Q189&lt;&gt;"",N(Q189)&gt;1),"over 100 % of the spec load; ","")&amp;IF(N(R189)&gt;Settings!$B$10,"over the tray maximum (kg); ","")&amp;IF(AND(K189&lt;&gt;"",IFERROR(INDEX(Parts!$C$6:$C$45,MATCH(K189,Parts!$A$6:$A$45,0)),O189)&lt;&gt;O189),"different processes in one tray; ","")&amp;IF(AND(S189&lt;&gt;"",T189=""),"rework reason missing; ",""))</f>
        <v/>
      </c>
    </row>
    <row r="190" customFormat="false" ht="15" hidden="false" customHeight="false" outlineLevel="0" collapsed="false">
      <c r="A190" s="18" t="str">
        <f aca="false">IF(B190="","",COUNTA(B$7:B190))</f>
        <v/>
      </c>
      <c r="B190" s="19"/>
      <c r="C190" s="20"/>
      <c r="D190" s="19" t="str">
        <f aca="false">IF(B190="","",IF(D189="",Report!$B$12,D189))</f>
        <v/>
      </c>
      <c r="E190" s="22" t="str">
        <f aca="false">IF(B190="","",IF(C190&lt;&gt;"",C190,E189+D189/1440+SUMIFS(Holds!$F$7:$F$46,Holds!$B$7:$B$46,"&gt;="&amp;E189,Holds!$B$7:$B$46,"&lt;"&amp;E189+D189/1440)/1440))</f>
        <v/>
      </c>
      <c r="F190" s="19"/>
      <c r="G190" s="19"/>
      <c r="H190" s="19"/>
      <c r="I190" s="19"/>
      <c r="J190" s="19"/>
      <c r="K190" s="19"/>
      <c r="L190" s="19"/>
      <c r="M190" s="19"/>
      <c r="N190" s="19"/>
      <c r="O190" s="18" t="str">
        <f aca="false">IF(F190="","",IFERROR(INDEX(Parts!$C$6:$C$45,MATCH(F190,Parts!$A$6:$A$45,0)),""))</f>
        <v/>
      </c>
      <c r="P190" s="18" t="str">
        <f aca="false">IF(F190="","",IFERROR(INDEX(Parts!$E$6:$E$45,MATCH(F190,Parts!$A$6:$A$45,0)),""))</f>
        <v/>
      </c>
      <c r="Q190" s="23" t="str">
        <f aca="false">IF(OR(J190="",P190="",P190=0),"",J190/P190+IF(OR(N190="",K190=""),0,IFERROR(N190/INDEX(Parts!$E$6:$E$45,MATCH(K190,Parts!$A$6:$A$45,0)),0)))</f>
        <v/>
      </c>
      <c r="R190" s="24" t="str">
        <f aca="false">IF(B190="","",IF(J190="",0,J190*IFERROR(INDEX(Parts!$F$6:$F$45,MATCH(F190,Parts!$A$6:$A$45,0)),0))+IF(N190="",0,N190*IFERROR(INDEX(Parts!$F$6:$F$45,MATCH(K190,Parts!$A$6:$A$45,0)),0)))</f>
        <v/>
      </c>
      <c r="S190" s="19"/>
      <c r="T190" s="19"/>
      <c r="U190" s="18" t="str">
        <f aca="false">IF(B190="","",IF(F190="",Settings!$B$9,IFERROR(INDEX(Parts!$H$6:$H$45,MATCH(F190,Parts!$A$6:$A$45,0))+0,Settings!$B$9)))</f>
        <v/>
      </c>
      <c r="V190" s="22" t="str">
        <f aca="false">IF(B190="","",IF(INDEX($E$7:$E$336,ROW()-6+Settings!$B$7)&lt;&gt;"",INDEX($E$7:$E$336,ROW()-6+Settings!$B$7),E190+Settings!$B$7*D190/1440))</f>
        <v/>
      </c>
      <c r="W190" s="22" t="str">
        <f aca="false">IF(B190="","",IF(INDEX($E$7:$E$336,ROW()-6+Settings!$B$7+Settings!$B$8)&lt;&gt;"",INDEX($E$7:$E$336,ROW()-6+Settings!$B$7+Settings!$B$8),E190+(Settings!$B$7+Settings!$B$8)*D190/1440)+U190/1440)</f>
        <v/>
      </c>
      <c r="X190" s="18" t="str">
        <f aca="false">IF(B190="","",IF(INDEX($E$7:$E$336,ROW()-6+Settings!$B$7+Settings!$B$8)&lt;&gt;"","line","estimate"))</f>
        <v/>
      </c>
      <c r="Y190" s="25" t="str">
        <f aca="false">IF(B190="","",INT(W190-Settings!$B$6))</f>
        <v/>
      </c>
      <c r="Z190" s="19"/>
      <c r="AA190" s="18" t="str">
        <f aca="false">IF(B190="","",IF(AND(B190&lt;&gt;"Empty",F190=""),"part missing; ","")&amp;IF(AND(F190&lt;&gt;"",J190=""),"pieces missing; ","")&amp;IF(AND(F190&lt;&gt;"",O190=""),"part not on the Parts sheet; ","")&amp;IF(AND(B190="Empty",OR(F190&lt;&gt;"",K190&lt;&gt;"")),"empty tray with parts; ","")&amp;IF(AND(B190="Loaded",K190&lt;&gt;""),"second part: type Mixed; ","")&amp;IF(AND(Q190&lt;&gt;"",N(Q190)&gt;1),"over 100 % of the spec load; ","")&amp;IF(N(R190)&gt;Settings!$B$10,"over the tray maximum (kg); ","")&amp;IF(AND(K190&lt;&gt;"",IFERROR(INDEX(Parts!$C$6:$C$45,MATCH(K190,Parts!$A$6:$A$45,0)),O190)&lt;&gt;O190),"different processes in one tray; ","")&amp;IF(AND(S190&lt;&gt;"",T190=""),"rework reason missing; ",""))</f>
        <v/>
      </c>
    </row>
    <row r="191" customFormat="false" ht="15" hidden="false" customHeight="false" outlineLevel="0" collapsed="false">
      <c r="A191" s="18" t="str">
        <f aca="false">IF(B191="","",COUNTA(B$7:B191))</f>
        <v/>
      </c>
      <c r="B191" s="19"/>
      <c r="C191" s="20"/>
      <c r="D191" s="19" t="str">
        <f aca="false">IF(B191="","",IF(D190="",Report!$B$12,D190))</f>
        <v/>
      </c>
      <c r="E191" s="22" t="str">
        <f aca="false">IF(B191="","",IF(C191&lt;&gt;"",C191,E190+D190/1440+SUMIFS(Holds!$F$7:$F$46,Holds!$B$7:$B$46,"&gt;="&amp;E190,Holds!$B$7:$B$46,"&lt;"&amp;E190+D190/1440)/1440))</f>
        <v/>
      </c>
      <c r="F191" s="19"/>
      <c r="G191" s="19"/>
      <c r="H191" s="19"/>
      <c r="I191" s="19"/>
      <c r="J191" s="19"/>
      <c r="K191" s="19"/>
      <c r="L191" s="19"/>
      <c r="M191" s="19"/>
      <c r="N191" s="19"/>
      <c r="O191" s="18" t="str">
        <f aca="false">IF(F191="","",IFERROR(INDEX(Parts!$C$6:$C$45,MATCH(F191,Parts!$A$6:$A$45,0)),""))</f>
        <v/>
      </c>
      <c r="P191" s="18" t="str">
        <f aca="false">IF(F191="","",IFERROR(INDEX(Parts!$E$6:$E$45,MATCH(F191,Parts!$A$6:$A$45,0)),""))</f>
        <v/>
      </c>
      <c r="Q191" s="23" t="str">
        <f aca="false">IF(OR(J191="",P191="",P191=0),"",J191/P191+IF(OR(N191="",K191=""),0,IFERROR(N191/INDEX(Parts!$E$6:$E$45,MATCH(K191,Parts!$A$6:$A$45,0)),0)))</f>
        <v/>
      </c>
      <c r="R191" s="24" t="str">
        <f aca="false">IF(B191="","",IF(J191="",0,J191*IFERROR(INDEX(Parts!$F$6:$F$45,MATCH(F191,Parts!$A$6:$A$45,0)),0))+IF(N191="",0,N191*IFERROR(INDEX(Parts!$F$6:$F$45,MATCH(K191,Parts!$A$6:$A$45,0)),0)))</f>
        <v/>
      </c>
      <c r="S191" s="19"/>
      <c r="T191" s="19"/>
      <c r="U191" s="18" t="str">
        <f aca="false">IF(B191="","",IF(F191="",Settings!$B$9,IFERROR(INDEX(Parts!$H$6:$H$45,MATCH(F191,Parts!$A$6:$A$45,0))+0,Settings!$B$9)))</f>
        <v/>
      </c>
      <c r="V191" s="22" t="str">
        <f aca="false">IF(B191="","",IF(INDEX($E$7:$E$336,ROW()-6+Settings!$B$7)&lt;&gt;"",INDEX($E$7:$E$336,ROW()-6+Settings!$B$7),E191+Settings!$B$7*D191/1440))</f>
        <v/>
      </c>
      <c r="W191" s="22" t="str">
        <f aca="false">IF(B191="","",IF(INDEX($E$7:$E$336,ROW()-6+Settings!$B$7+Settings!$B$8)&lt;&gt;"",INDEX($E$7:$E$336,ROW()-6+Settings!$B$7+Settings!$B$8),E191+(Settings!$B$7+Settings!$B$8)*D191/1440)+U191/1440)</f>
        <v/>
      </c>
      <c r="X191" s="18" t="str">
        <f aca="false">IF(B191="","",IF(INDEX($E$7:$E$336,ROW()-6+Settings!$B$7+Settings!$B$8)&lt;&gt;"","line","estimate"))</f>
        <v/>
      </c>
      <c r="Y191" s="25" t="str">
        <f aca="false">IF(B191="","",INT(W191-Settings!$B$6))</f>
        <v/>
      </c>
      <c r="Z191" s="19"/>
      <c r="AA191" s="18" t="str">
        <f aca="false">IF(B191="","",IF(AND(B191&lt;&gt;"Empty",F191=""),"part missing; ","")&amp;IF(AND(F191&lt;&gt;"",J191=""),"pieces missing; ","")&amp;IF(AND(F191&lt;&gt;"",O191=""),"part not on the Parts sheet; ","")&amp;IF(AND(B191="Empty",OR(F191&lt;&gt;"",K191&lt;&gt;"")),"empty tray with parts; ","")&amp;IF(AND(B191="Loaded",K191&lt;&gt;""),"second part: type Mixed; ","")&amp;IF(AND(Q191&lt;&gt;"",N(Q191)&gt;1),"over 100 % of the spec load; ","")&amp;IF(N(R191)&gt;Settings!$B$10,"over the tray maximum (kg); ","")&amp;IF(AND(K191&lt;&gt;"",IFERROR(INDEX(Parts!$C$6:$C$45,MATCH(K191,Parts!$A$6:$A$45,0)),O191)&lt;&gt;O191),"different processes in one tray; ","")&amp;IF(AND(S191&lt;&gt;"",T191=""),"rework reason missing; ",""))</f>
        <v/>
      </c>
    </row>
    <row r="192" customFormat="false" ht="15" hidden="false" customHeight="false" outlineLevel="0" collapsed="false">
      <c r="A192" s="18" t="str">
        <f aca="false">IF(B192="","",COUNTA(B$7:B192))</f>
        <v/>
      </c>
      <c r="B192" s="19"/>
      <c r="C192" s="20"/>
      <c r="D192" s="19" t="str">
        <f aca="false">IF(B192="","",IF(D191="",Report!$B$12,D191))</f>
        <v/>
      </c>
      <c r="E192" s="22" t="str">
        <f aca="false">IF(B192="","",IF(C192&lt;&gt;"",C192,E191+D191/1440+SUMIFS(Holds!$F$7:$F$46,Holds!$B$7:$B$46,"&gt;="&amp;E191,Holds!$B$7:$B$46,"&lt;"&amp;E191+D191/1440)/1440))</f>
        <v/>
      </c>
      <c r="F192" s="19"/>
      <c r="G192" s="19"/>
      <c r="H192" s="19"/>
      <c r="I192" s="19"/>
      <c r="J192" s="19"/>
      <c r="K192" s="19"/>
      <c r="L192" s="19"/>
      <c r="M192" s="19"/>
      <c r="N192" s="19"/>
      <c r="O192" s="18" t="str">
        <f aca="false">IF(F192="","",IFERROR(INDEX(Parts!$C$6:$C$45,MATCH(F192,Parts!$A$6:$A$45,0)),""))</f>
        <v/>
      </c>
      <c r="P192" s="18" t="str">
        <f aca="false">IF(F192="","",IFERROR(INDEX(Parts!$E$6:$E$45,MATCH(F192,Parts!$A$6:$A$45,0)),""))</f>
        <v/>
      </c>
      <c r="Q192" s="23" t="str">
        <f aca="false">IF(OR(J192="",P192="",P192=0),"",J192/P192+IF(OR(N192="",K192=""),0,IFERROR(N192/INDEX(Parts!$E$6:$E$45,MATCH(K192,Parts!$A$6:$A$45,0)),0)))</f>
        <v/>
      </c>
      <c r="R192" s="24" t="str">
        <f aca="false">IF(B192="","",IF(J192="",0,J192*IFERROR(INDEX(Parts!$F$6:$F$45,MATCH(F192,Parts!$A$6:$A$45,0)),0))+IF(N192="",0,N192*IFERROR(INDEX(Parts!$F$6:$F$45,MATCH(K192,Parts!$A$6:$A$45,0)),0)))</f>
        <v/>
      </c>
      <c r="S192" s="19"/>
      <c r="T192" s="19"/>
      <c r="U192" s="18" t="str">
        <f aca="false">IF(B192="","",IF(F192="",Settings!$B$9,IFERROR(INDEX(Parts!$H$6:$H$45,MATCH(F192,Parts!$A$6:$A$45,0))+0,Settings!$B$9)))</f>
        <v/>
      </c>
      <c r="V192" s="22" t="str">
        <f aca="false">IF(B192="","",IF(INDEX($E$7:$E$336,ROW()-6+Settings!$B$7)&lt;&gt;"",INDEX($E$7:$E$336,ROW()-6+Settings!$B$7),E192+Settings!$B$7*D192/1440))</f>
        <v/>
      </c>
      <c r="W192" s="22" t="str">
        <f aca="false">IF(B192="","",IF(INDEX($E$7:$E$336,ROW()-6+Settings!$B$7+Settings!$B$8)&lt;&gt;"",INDEX($E$7:$E$336,ROW()-6+Settings!$B$7+Settings!$B$8),E192+(Settings!$B$7+Settings!$B$8)*D192/1440)+U192/1440)</f>
        <v/>
      </c>
      <c r="X192" s="18" t="str">
        <f aca="false">IF(B192="","",IF(INDEX($E$7:$E$336,ROW()-6+Settings!$B$7+Settings!$B$8)&lt;&gt;"","line","estimate"))</f>
        <v/>
      </c>
      <c r="Y192" s="25" t="str">
        <f aca="false">IF(B192="","",INT(W192-Settings!$B$6))</f>
        <v/>
      </c>
      <c r="Z192" s="19"/>
      <c r="AA192" s="18" t="str">
        <f aca="false">IF(B192="","",IF(AND(B192&lt;&gt;"Empty",F192=""),"part missing; ","")&amp;IF(AND(F192&lt;&gt;"",J192=""),"pieces missing; ","")&amp;IF(AND(F192&lt;&gt;"",O192=""),"part not on the Parts sheet; ","")&amp;IF(AND(B192="Empty",OR(F192&lt;&gt;"",K192&lt;&gt;"")),"empty tray with parts; ","")&amp;IF(AND(B192="Loaded",K192&lt;&gt;""),"second part: type Mixed; ","")&amp;IF(AND(Q192&lt;&gt;"",N(Q192)&gt;1),"over 100 % of the spec load; ","")&amp;IF(N(R192)&gt;Settings!$B$10,"over the tray maximum (kg); ","")&amp;IF(AND(K192&lt;&gt;"",IFERROR(INDEX(Parts!$C$6:$C$45,MATCH(K192,Parts!$A$6:$A$45,0)),O192)&lt;&gt;O192),"different processes in one tray; ","")&amp;IF(AND(S192&lt;&gt;"",T192=""),"rework reason missing; ",""))</f>
        <v/>
      </c>
    </row>
    <row r="193" customFormat="false" ht="15" hidden="false" customHeight="false" outlineLevel="0" collapsed="false">
      <c r="A193" s="18" t="str">
        <f aca="false">IF(B193="","",COUNTA(B$7:B193))</f>
        <v/>
      </c>
      <c r="B193" s="19"/>
      <c r="C193" s="20"/>
      <c r="D193" s="19" t="str">
        <f aca="false">IF(B193="","",IF(D192="",Report!$B$12,D192))</f>
        <v/>
      </c>
      <c r="E193" s="22" t="str">
        <f aca="false">IF(B193="","",IF(C193&lt;&gt;"",C193,E192+D192/1440+SUMIFS(Holds!$F$7:$F$46,Holds!$B$7:$B$46,"&gt;="&amp;E192,Holds!$B$7:$B$46,"&lt;"&amp;E192+D192/1440)/1440))</f>
        <v/>
      </c>
      <c r="F193" s="19"/>
      <c r="G193" s="19"/>
      <c r="H193" s="19"/>
      <c r="I193" s="19"/>
      <c r="J193" s="19"/>
      <c r="K193" s="19"/>
      <c r="L193" s="19"/>
      <c r="M193" s="19"/>
      <c r="N193" s="19"/>
      <c r="O193" s="18" t="str">
        <f aca="false">IF(F193="","",IFERROR(INDEX(Parts!$C$6:$C$45,MATCH(F193,Parts!$A$6:$A$45,0)),""))</f>
        <v/>
      </c>
      <c r="P193" s="18" t="str">
        <f aca="false">IF(F193="","",IFERROR(INDEX(Parts!$E$6:$E$45,MATCH(F193,Parts!$A$6:$A$45,0)),""))</f>
        <v/>
      </c>
      <c r="Q193" s="23" t="str">
        <f aca="false">IF(OR(J193="",P193="",P193=0),"",J193/P193+IF(OR(N193="",K193=""),0,IFERROR(N193/INDEX(Parts!$E$6:$E$45,MATCH(K193,Parts!$A$6:$A$45,0)),0)))</f>
        <v/>
      </c>
      <c r="R193" s="24" t="str">
        <f aca="false">IF(B193="","",IF(J193="",0,J193*IFERROR(INDEX(Parts!$F$6:$F$45,MATCH(F193,Parts!$A$6:$A$45,0)),0))+IF(N193="",0,N193*IFERROR(INDEX(Parts!$F$6:$F$45,MATCH(K193,Parts!$A$6:$A$45,0)),0)))</f>
        <v/>
      </c>
      <c r="S193" s="19"/>
      <c r="T193" s="19"/>
      <c r="U193" s="18" t="str">
        <f aca="false">IF(B193="","",IF(F193="",Settings!$B$9,IFERROR(INDEX(Parts!$H$6:$H$45,MATCH(F193,Parts!$A$6:$A$45,0))+0,Settings!$B$9)))</f>
        <v/>
      </c>
      <c r="V193" s="22" t="str">
        <f aca="false">IF(B193="","",IF(INDEX($E$7:$E$336,ROW()-6+Settings!$B$7)&lt;&gt;"",INDEX($E$7:$E$336,ROW()-6+Settings!$B$7),E193+Settings!$B$7*D193/1440))</f>
        <v/>
      </c>
      <c r="W193" s="22" t="str">
        <f aca="false">IF(B193="","",IF(INDEX($E$7:$E$336,ROW()-6+Settings!$B$7+Settings!$B$8)&lt;&gt;"",INDEX($E$7:$E$336,ROW()-6+Settings!$B$7+Settings!$B$8),E193+(Settings!$B$7+Settings!$B$8)*D193/1440)+U193/1440)</f>
        <v/>
      </c>
      <c r="X193" s="18" t="str">
        <f aca="false">IF(B193="","",IF(INDEX($E$7:$E$336,ROW()-6+Settings!$B$7+Settings!$B$8)&lt;&gt;"","line","estimate"))</f>
        <v/>
      </c>
      <c r="Y193" s="25" t="str">
        <f aca="false">IF(B193="","",INT(W193-Settings!$B$6))</f>
        <v/>
      </c>
      <c r="Z193" s="19"/>
      <c r="AA193" s="18" t="str">
        <f aca="false">IF(B193="","",IF(AND(B193&lt;&gt;"Empty",F193=""),"part missing; ","")&amp;IF(AND(F193&lt;&gt;"",J193=""),"pieces missing; ","")&amp;IF(AND(F193&lt;&gt;"",O193=""),"part not on the Parts sheet; ","")&amp;IF(AND(B193="Empty",OR(F193&lt;&gt;"",K193&lt;&gt;"")),"empty tray with parts; ","")&amp;IF(AND(B193="Loaded",K193&lt;&gt;""),"second part: type Mixed; ","")&amp;IF(AND(Q193&lt;&gt;"",N(Q193)&gt;1),"over 100 % of the spec load; ","")&amp;IF(N(R193)&gt;Settings!$B$10,"over the tray maximum (kg); ","")&amp;IF(AND(K193&lt;&gt;"",IFERROR(INDEX(Parts!$C$6:$C$45,MATCH(K193,Parts!$A$6:$A$45,0)),O193)&lt;&gt;O193),"different processes in one tray; ","")&amp;IF(AND(S193&lt;&gt;"",T193=""),"rework reason missing; ",""))</f>
        <v/>
      </c>
    </row>
    <row r="194" customFormat="false" ht="15" hidden="false" customHeight="false" outlineLevel="0" collapsed="false">
      <c r="A194" s="18" t="str">
        <f aca="false">IF(B194="","",COUNTA(B$7:B194))</f>
        <v/>
      </c>
      <c r="B194" s="19"/>
      <c r="C194" s="20"/>
      <c r="D194" s="19" t="str">
        <f aca="false">IF(B194="","",IF(D193="",Report!$B$12,D193))</f>
        <v/>
      </c>
      <c r="E194" s="22" t="str">
        <f aca="false">IF(B194="","",IF(C194&lt;&gt;"",C194,E193+D193/1440+SUMIFS(Holds!$F$7:$F$46,Holds!$B$7:$B$46,"&gt;="&amp;E193,Holds!$B$7:$B$46,"&lt;"&amp;E193+D193/1440)/1440))</f>
        <v/>
      </c>
      <c r="F194" s="19"/>
      <c r="G194" s="19"/>
      <c r="H194" s="19"/>
      <c r="I194" s="19"/>
      <c r="J194" s="19"/>
      <c r="K194" s="19"/>
      <c r="L194" s="19"/>
      <c r="M194" s="19"/>
      <c r="N194" s="19"/>
      <c r="O194" s="18" t="str">
        <f aca="false">IF(F194="","",IFERROR(INDEX(Parts!$C$6:$C$45,MATCH(F194,Parts!$A$6:$A$45,0)),""))</f>
        <v/>
      </c>
      <c r="P194" s="18" t="str">
        <f aca="false">IF(F194="","",IFERROR(INDEX(Parts!$E$6:$E$45,MATCH(F194,Parts!$A$6:$A$45,0)),""))</f>
        <v/>
      </c>
      <c r="Q194" s="23" t="str">
        <f aca="false">IF(OR(J194="",P194="",P194=0),"",J194/P194+IF(OR(N194="",K194=""),0,IFERROR(N194/INDEX(Parts!$E$6:$E$45,MATCH(K194,Parts!$A$6:$A$45,0)),0)))</f>
        <v/>
      </c>
      <c r="R194" s="24" t="str">
        <f aca="false">IF(B194="","",IF(J194="",0,J194*IFERROR(INDEX(Parts!$F$6:$F$45,MATCH(F194,Parts!$A$6:$A$45,0)),0))+IF(N194="",0,N194*IFERROR(INDEX(Parts!$F$6:$F$45,MATCH(K194,Parts!$A$6:$A$45,0)),0)))</f>
        <v/>
      </c>
      <c r="S194" s="19"/>
      <c r="T194" s="19"/>
      <c r="U194" s="18" t="str">
        <f aca="false">IF(B194="","",IF(F194="",Settings!$B$9,IFERROR(INDEX(Parts!$H$6:$H$45,MATCH(F194,Parts!$A$6:$A$45,0))+0,Settings!$B$9)))</f>
        <v/>
      </c>
      <c r="V194" s="22" t="str">
        <f aca="false">IF(B194="","",IF(INDEX($E$7:$E$336,ROW()-6+Settings!$B$7)&lt;&gt;"",INDEX($E$7:$E$336,ROW()-6+Settings!$B$7),E194+Settings!$B$7*D194/1440))</f>
        <v/>
      </c>
      <c r="W194" s="22" t="str">
        <f aca="false">IF(B194="","",IF(INDEX($E$7:$E$336,ROW()-6+Settings!$B$7+Settings!$B$8)&lt;&gt;"",INDEX($E$7:$E$336,ROW()-6+Settings!$B$7+Settings!$B$8),E194+(Settings!$B$7+Settings!$B$8)*D194/1440)+U194/1440)</f>
        <v/>
      </c>
      <c r="X194" s="18" t="str">
        <f aca="false">IF(B194="","",IF(INDEX($E$7:$E$336,ROW()-6+Settings!$B$7+Settings!$B$8)&lt;&gt;"","line","estimate"))</f>
        <v/>
      </c>
      <c r="Y194" s="25" t="str">
        <f aca="false">IF(B194="","",INT(W194-Settings!$B$6))</f>
        <v/>
      </c>
      <c r="Z194" s="19"/>
      <c r="AA194" s="18" t="str">
        <f aca="false">IF(B194="","",IF(AND(B194&lt;&gt;"Empty",F194=""),"part missing; ","")&amp;IF(AND(F194&lt;&gt;"",J194=""),"pieces missing; ","")&amp;IF(AND(F194&lt;&gt;"",O194=""),"part not on the Parts sheet; ","")&amp;IF(AND(B194="Empty",OR(F194&lt;&gt;"",K194&lt;&gt;"")),"empty tray with parts; ","")&amp;IF(AND(B194="Loaded",K194&lt;&gt;""),"second part: type Mixed; ","")&amp;IF(AND(Q194&lt;&gt;"",N(Q194)&gt;1),"over 100 % of the spec load; ","")&amp;IF(N(R194)&gt;Settings!$B$10,"over the tray maximum (kg); ","")&amp;IF(AND(K194&lt;&gt;"",IFERROR(INDEX(Parts!$C$6:$C$45,MATCH(K194,Parts!$A$6:$A$45,0)),O194)&lt;&gt;O194),"different processes in one tray; ","")&amp;IF(AND(S194&lt;&gt;"",T194=""),"rework reason missing; ",""))</f>
        <v/>
      </c>
    </row>
    <row r="195" customFormat="false" ht="15" hidden="false" customHeight="false" outlineLevel="0" collapsed="false">
      <c r="A195" s="18" t="str">
        <f aca="false">IF(B195="","",COUNTA(B$7:B195))</f>
        <v/>
      </c>
      <c r="B195" s="19"/>
      <c r="C195" s="20"/>
      <c r="D195" s="19" t="str">
        <f aca="false">IF(B195="","",IF(D194="",Report!$B$12,D194))</f>
        <v/>
      </c>
      <c r="E195" s="22" t="str">
        <f aca="false">IF(B195="","",IF(C195&lt;&gt;"",C195,E194+D194/1440+SUMIFS(Holds!$F$7:$F$46,Holds!$B$7:$B$46,"&gt;="&amp;E194,Holds!$B$7:$B$46,"&lt;"&amp;E194+D194/1440)/1440))</f>
        <v/>
      </c>
      <c r="F195" s="19"/>
      <c r="G195" s="19"/>
      <c r="H195" s="19"/>
      <c r="I195" s="19"/>
      <c r="J195" s="19"/>
      <c r="K195" s="19"/>
      <c r="L195" s="19"/>
      <c r="M195" s="19"/>
      <c r="N195" s="19"/>
      <c r="O195" s="18" t="str">
        <f aca="false">IF(F195="","",IFERROR(INDEX(Parts!$C$6:$C$45,MATCH(F195,Parts!$A$6:$A$45,0)),""))</f>
        <v/>
      </c>
      <c r="P195" s="18" t="str">
        <f aca="false">IF(F195="","",IFERROR(INDEX(Parts!$E$6:$E$45,MATCH(F195,Parts!$A$6:$A$45,0)),""))</f>
        <v/>
      </c>
      <c r="Q195" s="23" t="str">
        <f aca="false">IF(OR(J195="",P195="",P195=0),"",J195/P195+IF(OR(N195="",K195=""),0,IFERROR(N195/INDEX(Parts!$E$6:$E$45,MATCH(K195,Parts!$A$6:$A$45,0)),0)))</f>
        <v/>
      </c>
      <c r="R195" s="24" t="str">
        <f aca="false">IF(B195="","",IF(J195="",0,J195*IFERROR(INDEX(Parts!$F$6:$F$45,MATCH(F195,Parts!$A$6:$A$45,0)),0))+IF(N195="",0,N195*IFERROR(INDEX(Parts!$F$6:$F$45,MATCH(K195,Parts!$A$6:$A$45,0)),0)))</f>
        <v/>
      </c>
      <c r="S195" s="19"/>
      <c r="T195" s="19"/>
      <c r="U195" s="18" t="str">
        <f aca="false">IF(B195="","",IF(F195="",Settings!$B$9,IFERROR(INDEX(Parts!$H$6:$H$45,MATCH(F195,Parts!$A$6:$A$45,0))+0,Settings!$B$9)))</f>
        <v/>
      </c>
      <c r="V195" s="22" t="str">
        <f aca="false">IF(B195="","",IF(INDEX($E$7:$E$336,ROW()-6+Settings!$B$7)&lt;&gt;"",INDEX($E$7:$E$336,ROW()-6+Settings!$B$7),E195+Settings!$B$7*D195/1440))</f>
        <v/>
      </c>
      <c r="W195" s="22" t="str">
        <f aca="false">IF(B195="","",IF(INDEX($E$7:$E$336,ROW()-6+Settings!$B$7+Settings!$B$8)&lt;&gt;"",INDEX($E$7:$E$336,ROW()-6+Settings!$B$7+Settings!$B$8),E195+(Settings!$B$7+Settings!$B$8)*D195/1440)+U195/1440)</f>
        <v/>
      </c>
      <c r="X195" s="18" t="str">
        <f aca="false">IF(B195="","",IF(INDEX($E$7:$E$336,ROW()-6+Settings!$B$7+Settings!$B$8)&lt;&gt;"","line","estimate"))</f>
        <v/>
      </c>
      <c r="Y195" s="25" t="str">
        <f aca="false">IF(B195="","",INT(W195-Settings!$B$6))</f>
        <v/>
      </c>
      <c r="Z195" s="19"/>
      <c r="AA195" s="18" t="str">
        <f aca="false">IF(B195="","",IF(AND(B195&lt;&gt;"Empty",F195=""),"part missing; ","")&amp;IF(AND(F195&lt;&gt;"",J195=""),"pieces missing; ","")&amp;IF(AND(F195&lt;&gt;"",O195=""),"part not on the Parts sheet; ","")&amp;IF(AND(B195="Empty",OR(F195&lt;&gt;"",K195&lt;&gt;"")),"empty tray with parts; ","")&amp;IF(AND(B195="Loaded",K195&lt;&gt;""),"second part: type Mixed; ","")&amp;IF(AND(Q195&lt;&gt;"",N(Q195)&gt;1),"over 100 % of the spec load; ","")&amp;IF(N(R195)&gt;Settings!$B$10,"over the tray maximum (kg); ","")&amp;IF(AND(K195&lt;&gt;"",IFERROR(INDEX(Parts!$C$6:$C$45,MATCH(K195,Parts!$A$6:$A$45,0)),O195)&lt;&gt;O195),"different processes in one tray; ","")&amp;IF(AND(S195&lt;&gt;"",T195=""),"rework reason missing; ",""))</f>
        <v/>
      </c>
    </row>
    <row r="196" customFormat="false" ht="15" hidden="false" customHeight="false" outlineLevel="0" collapsed="false">
      <c r="A196" s="18" t="str">
        <f aca="false">IF(B196="","",COUNTA(B$7:B196))</f>
        <v/>
      </c>
      <c r="B196" s="19"/>
      <c r="C196" s="20"/>
      <c r="D196" s="19" t="str">
        <f aca="false">IF(B196="","",IF(D195="",Report!$B$12,D195))</f>
        <v/>
      </c>
      <c r="E196" s="22" t="str">
        <f aca="false">IF(B196="","",IF(C196&lt;&gt;"",C196,E195+D195/1440+SUMIFS(Holds!$F$7:$F$46,Holds!$B$7:$B$46,"&gt;="&amp;E195,Holds!$B$7:$B$46,"&lt;"&amp;E195+D195/1440)/1440))</f>
        <v/>
      </c>
      <c r="F196" s="19"/>
      <c r="G196" s="19"/>
      <c r="H196" s="19"/>
      <c r="I196" s="19"/>
      <c r="J196" s="19"/>
      <c r="K196" s="19"/>
      <c r="L196" s="19"/>
      <c r="M196" s="19"/>
      <c r="N196" s="19"/>
      <c r="O196" s="18" t="str">
        <f aca="false">IF(F196="","",IFERROR(INDEX(Parts!$C$6:$C$45,MATCH(F196,Parts!$A$6:$A$45,0)),""))</f>
        <v/>
      </c>
      <c r="P196" s="18" t="str">
        <f aca="false">IF(F196="","",IFERROR(INDEX(Parts!$E$6:$E$45,MATCH(F196,Parts!$A$6:$A$45,0)),""))</f>
        <v/>
      </c>
      <c r="Q196" s="23" t="str">
        <f aca="false">IF(OR(J196="",P196="",P196=0),"",J196/P196+IF(OR(N196="",K196=""),0,IFERROR(N196/INDEX(Parts!$E$6:$E$45,MATCH(K196,Parts!$A$6:$A$45,0)),0)))</f>
        <v/>
      </c>
      <c r="R196" s="24" t="str">
        <f aca="false">IF(B196="","",IF(J196="",0,J196*IFERROR(INDEX(Parts!$F$6:$F$45,MATCH(F196,Parts!$A$6:$A$45,0)),0))+IF(N196="",0,N196*IFERROR(INDEX(Parts!$F$6:$F$45,MATCH(K196,Parts!$A$6:$A$45,0)),0)))</f>
        <v/>
      </c>
      <c r="S196" s="19"/>
      <c r="T196" s="19"/>
      <c r="U196" s="18" t="str">
        <f aca="false">IF(B196="","",IF(F196="",Settings!$B$9,IFERROR(INDEX(Parts!$H$6:$H$45,MATCH(F196,Parts!$A$6:$A$45,0))+0,Settings!$B$9)))</f>
        <v/>
      </c>
      <c r="V196" s="22" t="str">
        <f aca="false">IF(B196="","",IF(INDEX($E$7:$E$336,ROW()-6+Settings!$B$7)&lt;&gt;"",INDEX($E$7:$E$336,ROW()-6+Settings!$B$7),E196+Settings!$B$7*D196/1440))</f>
        <v/>
      </c>
      <c r="W196" s="22" t="str">
        <f aca="false">IF(B196="","",IF(INDEX($E$7:$E$336,ROW()-6+Settings!$B$7+Settings!$B$8)&lt;&gt;"",INDEX($E$7:$E$336,ROW()-6+Settings!$B$7+Settings!$B$8),E196+(Settings!$B$7+Settings!$B$8)*D196/1440)+U196/1440)</f>
        <v/>
      </c>
      <c r="X196" s="18" t="str">
        <f aca="false">IF(B196="","",IF(INDEX($E$7:$E$336,ROW()-6+Settings!$B$7+Settings!$B$8)&lt;&gt;"","line","estimate"))</f>
        <v/>
      </c>
      <c r="Y196" s="25" t="str">
        <f aca="false">IF(B196="","",INT(W196-Settings!$B$6))</f>
        <v/>
      </c>
      <c r="Z196" s="19"/>
      <c r="AA196" s="18" t="str">
        <f aca="false">IF(B196="","",IF(AND(B196&lt;&gt;"Empty",F196=""),"part missing; ","")&amp;IF(AND(F196&lt;&gt;"",J196=""),"pieces missing; ","")&amp;IF(AND(F196&lt;&gt;"",O196=""),"part not on the Parts sheet; ","")&amp;IF(AND(B196="Empty",OR(F196&lt;&gt;"",K196&lt;&gt;"")),"empty tray with parts; ","")&amp;IF(AND(B196="Loaded",K196&lt;&gt;""),"second part: type Mixed; ","")&amp;IF(AND(Q196&lt;&gt;"",N(Q196)&gt;1),"over 100 % of the spec load; ","")&amp;IF(N(R196)&gt;Settings!$B$10,"over the tray maximum (kg); ","")&amp;IF(AND(K196&lt;&gt;"",IFERROR(INDEX(Parts!$C$6:$C$45,MATCH(K196,Parts!$A$6:$A$45,0)),O196)&lt;&gt;O196),"different processes in one tray; ","")&amp;IF(AND(S196&lt;&gt;"",T196=""),"rework reason missing; ",""))</f>
        <v/>
      </c>
    </row>
    <row r="197" customFormat="false" ht="15" hidden="false" customHeight="false" outlineLevel="0" collapsed="false">
      <c r="A197" s="18" t="str">
        <f aca="false">IF(B197="","",COUNTA(B$7:B197))</f>
        <v/>
      </c>
      <c r="B197" s="19"/>
      <c r="C197" s="20"/>
      <c r="D197" s="19" t="str">
        <f aca="false">IF(B197="","",IF(D196="",Report!$B$12,D196))</f>
        <v/>
      </c>
      <c r="E197" s="22" t="str">
        <f aca="false">IF(B197="","",IF(C197&lt;&gt;"",C197,E196+D196/1440+SUMIFS(Holds!$F$7:$F$46,Holds!$B$7:$B$46,"&gt;="&amp;E196,Holds!$B$7:$B$46,"&lt;"&amp;E196+D196/1440)/1440))</f>
        <v/>
      </c>
      <c r="F197" s="19"/>
      <c r="G197" s="19"/>
      <c r="H197" s="19"/>
      <c r="I197" s="19"/>
      <c r="J197" s="19"/>
      <c r="K197" s="19"/>
      <c r="L197" s="19"/>
      <c r="M197" s="19"/>
      <c r="N197" s="19"/>
      <c r="O197" s="18" t="str">
        <f aca="false">IF(F197="","",IFERROR(INDEX(Parts!$C$6:$C$45,MATCH(F197,Parts!$A$6:$A$45,0)),""))</f>
        <v/>
      </c>
      <c r="P197" s="18" t="str">
        <f aca="false">IF(F197="","",IFERROR(INDEX(Parts!$E$6:$E$45,MATCH(F197,Parts!$A$6:$A$45,0)),""))</f>
        <v/>
      </c>
      <c r="Q197" s="23" t="str">
        <f aca="false">IF(OR(J197="",P197="",P197=0),"",J197/P197+IF(OR(N197="",K197=""),0,IFERROR(N197/INDEX(Parts!$E$6:$E$45,MATCH(K197,Parts!$A$6:$A$45,0)),0)))</f>
        <v/>
      </c>
      <c r="R197" s="24" t="str">
        <f aca="false">IF(B197="","",IF(J197="",0,J197*IFERROR(INDEX(Parts!$F$6:$F$45,MATCH(F197,Parts!$A$6:$A$45,0)),0))+IF(N197="",0,N197*IFERROR(INDEX(Parts!$F$6:$F$45,MATCH(K197,Parts!$A$6:$A$45,0)),0)))</f>
        <v/>
      </c>
      <c r="S197" s="19"/>
      <c r="T197" s="19"/>
      <c r="U197" s="18" t="str">
        <f aca="false">IF(B197="","",IF(F197="",Settings!$B$9,IFERROR(INDEX(Parts!$H$6:$H$45,MATCH(F197,Parts!$A$6:$A$45,0))+0,Settings!$B$9)))</f>
        <v/>
      </c>
      <c r="V197" s="22" t="str">
        <f aca="false">IF(B197="","",IF(INDEX($E$7:$E$336,ROW()-6+Settings!$B$7)&lt;&gt;"",INDEX($E$7:$E$336,ROW()-6+Settings!$B$7),E197+Settings!$B$7*D197/1440))</f>
        <v/>
      </c>
      <c r="W197" s="22" t="str">
        <f aca="false">IF(B197="","",IF(INDEX($E$7:$E$336,ROW()-6+Settings!$B$7+Settings!$B$8)&lt;&gt;"",INDEX($E$7:$E$336,ROW()-6+Settings!$B$7+Settings!$B$8),E197+(Settings!$B$7+Settings!$B$8)*D197/1440)+U197/1440)</f>
        <v/>
      </c>
      <c r="X197" s="18" t="str">
        <f aca="false">IF(B197="","",IF(INDEX($E$7:$E$336,ROW()-6+Settings!$B$7+Settings!$B$8)&lt;&gt;"","line","estimate"))</f>
        <v/>
      </c>
      <c r="Y197" s="25" t="str">
        <f aca="false">IF(B197="","",INT(W197-Settings!$B$6))</f>
        <v/>
      </c>
      <c r="Z197" s="19"/>
      <c r="AA197" s="18" t="str">
        <f aca="false">IF(B197="","",IF(AND(B197&lt;&gt;"Empty",F197=""),"part missing; ","")&amp;IF(AND(F197&lt;&gt;"",J197=""),"pieces missing; ","")&amp;IF(AND(F197&lt;&gt;"",O197=""),"part not on the Parts sheet; ","")&amp;IF(AND(B197="Empty",OR(F197&lt;&gt;"",K197&lt;&gt;"")),"empty tray with parts; ","")&amp;IF(AND(B197="Loaded",K197&lt;&gt;""),"second part: type Mixed; ","")&amp;IF(AND(Q197&lt;&gt;"",N(Q197)&gt;1),"over 100 % of the spec load; ","")&amp;IF(N(R197)&gt;Settings!$B$10,"over the tray maximum (kg); ","")&amp;IF(AND(K197&lt;&gt;"",IFERROR(INDEX(Parts!$C$6:$C$45,MATCH(K197,Parts!$A$6:$A$45,0)),O197)&lt;&gt;O197),"different processes in one tray; ","")&amp;IF(AND(S197&lt;&gt;"",T197=""),"rework reason missing; ",""))</f>
        <v/>
      </c>
    </row>
    <row r="198" customFormat="false" ht="15" hidden="false" customHeight="false" outlineLevel="0" collapsed="false">
      <c r="A198" s="18" t="str">
        <f aca="false">IF(B198="","",COUNTA(B$7:B198))</f>
        <v/>
      </c>
      <c r="B198" s="19"/>
      <c r="C198" s="20"/>
      <c r="D198" s="19" t="str">
        <f aca="false">IF(B198="","",IF(D197="",Report!$B$12,D197))</f>
        <v/>
      </c>
      <c r="E198" s="22" t="str">
        <f aca="false">IF(B198="","",IF(C198&lt;&gt;"",C198,E197+D197/1440+SUMIFS(Holds!$F$7:$F$46,Holds!$B$7:$B$46,"&gt;="&amp;E197,Holds!$B$7:$B$46,"&lt;"&amp;E197+D197/1440)/1440))</f>
        <v/>
      </c>
      <c r="F198" s="19"/>
      <c r="G198" s="19"/>
      <c r="H198" s="19"/>
      <c r="I198" s="19"/>
      <c r="J198" s="19"/>
      <c r="K198" s="19"/>
      <c r="L198" s="19"/>
      <c r="M198" s="19"/>
      <c r="N198" s="19"/>
      <c r="O198" s="18" t="str">
        <f aca="false">IF(F198="","",IFERROR(INDEX(Parts!$C$6:$C$45,MATCH(F198,Parts!$A$6:$A$45,0)),""))</f>
        <v/>
      </c>
      <c r="P198" s="18" t="str">
        <f aca="false">IF(F198="","",IFERROR(INDEX(Parts!$E$6:$E$45,MATCH(F198,Parts!$A$6:$A$45,0)),""))</f>
        <v/>
      </c>
      <c r="Q198" s="23" t="str">
        <f aca="false">IF(OR(J198="",P198="",P198=0),"",J198/P198+IF(OR(N198="",K198=""),0,IFERROR(N198/INDEX(Parts!$E$6:$E$45,MATCH(K198,Parts!$A$6:$A$45,0)),0)))</f>
        <v/>
      </c>
      <c r="R198" s="24" t="str">
        <f aca="false">IF(B198="","",IF(J198="",0,J198*IFERROR(INDEX(Parts!$F$6:$F$45,MATCH(F198,Parts!$A$6:$A$45,0)),0))+IF(N198="",0,N198*IFERROR(INDEX(Parts!$F$6:$F$45,MATCH(K198,Parts!$A$6:$A$45,0)),0)))</f>
        <v/>
      </c>
      <c r="S198" s="19"/>
      <c r="T198" s="19"/>
      <c r="U198" s="18" t="str">
        <f aca="false">IF(B198="","",IF(F198="",Settings!$B$9,IFERROR(INDEX(Parts!$H$6:$H$45,MATCH(F198,Parts!$A$6:$A$45,0))+0,Settings!$B$9)))</f>
        <v/>
      </c>
      <c r="V198" s="22" t="str">
        <f aca="false">IF(B198="","",IF(INDEX($E$7:$E$336,ROW()-6+Settings!$B$7)&lt;&gt;"",INDEX($E$7:$E$336,ROW()-6+Settings!$B$7),E198+Settings!$B$7*D198/1440))</f>
        <v/>
      </c>
      <c r="W198" s="22" t="str">
        <f aca="false">IF(B198="","",IF(INDEX($E$7:$E$336,ROW()-6+Settings!$B$7+Settings!$B$8)&lt;&gt;"",INDEX($E$7:$E$336,ROW()-6+Settings!$B$7+Settings!$B$8),E198+(Settings!$B$7+Settings!$B$8)*D198/1440)+U198/1440)</f>
        <v/>
      </c>
      <c r="X198" s="18" t="str">
        <f aca="false">IF(B198="","",IF(INDEX($E$7:$E$336,ROW()-6+Settings!$B$7+Settings!$B$8)&lt;&gt;"","line","estimate"))</f>
        <v/>
      </c>
      <c r="Y198" s="25" t="str">
        <f aca="false">IF(B198="","",INT(W198-Settings!$B$6))</f>
        <v/>
      </c>
      <c r="Z198" s="19"/>
      <c r="AA198" s="18" t="str">
        <f aca="false">IF(B198="","",IF(AND(B198&lt;&gt;"Empty",F198=""),"part missing; ","")&amp;IF(AND(F198&lt;&gt;"",J198=""),"pieces missing; ","")&amp;IF(AND(F198&lt;&gt;"",O198=""),"part not on the Parts sheet; ","")&amp;IF(AND(B198="Empty",OR(F198&lt;&gt;"",K198&lt;&gt;"")),"empty tray with parts; ","")&amp;IF(AND(B198="Loaded",K198&lt;&gt;""),"second part: type Mixed; ","")&amp;IF(AND(Q198&lt;&gt;"",N(Q198)&gt;1),"over 100 % of the spec load; ","")&amp;IF(N(R198)&gt;Settings!$B$10,"over the tray maximum (kg); ","")&amp;IF(AND(K198&lt;&gt;"",IFERROR(INDEX(Parts!$C$6:$C$45,MATCH(K198,Parts!$A$6:$A$45,0)),O198)&lt;&gt;O198),"different processes in one tray; ","")&amp;IF(AND(S198&lt;&gt;"",T198=""),"rework reason missing; ",""))</f>
        <v/>
      </c>
    </row>
    <row r="199" customFormat="false" ht="15" hidden="false" customHeight="false" outlineLevel="0" collapsed="false">
      <c r="A199" s="18" t="str">
        <f aca="false">IF(B199="","",COUNTA(B$7:B199))</f>
        <v/>
      </c>
      <c r="B199" s="19"/>
      <c r="C199" s="20"/>
      <c r="D199" s="19" t="str">
        <f aca="false">IF(B199="","",IF(D198="",Report!$B$12,D198))</f>
        <v/>
      </c>
      <c r="E199" s="22" t="str">
        <f aca="false">IF(B199="","",IF(C199&lt;&gt;"",C199,E198+D198/1440+SUMIFS(Holds!$F$7:$F$46,Holds!$B$7:$B$46,"&gt;="&amp;E198,Holds!$B$7:$B$46,"&lt;"&amp;E198+D198/1440)/1440))</f>
        <v/>
      </c>
      <c r="F199" s="19"/>
      <c r="G199" s="19"/>
      <c r="H199" s="19"/>
      <c r="I199" s="19"/>
      <c r="J199" s="19"/>
      <c r="K199" s="19"/>
      <c r="L199" s="19"/>
      <c r="M199" s="19"/>
      <c r="N199" s="19"/>
      <c r="O199" s="18" t="str">
        <f aca="false">IF(F199="","",IFERROR(INDEX(Parts!$C$6:$C$45,MATCH(F199,Parts!$A$6:$A$45,0)),""))</f>
        <v/>
      </c>
      <c r="P199" s="18" t="str">
        <f aca="false">IF(F199="","",IFERROR(INDEX(Parts!$E$6:$E$45,MATCH(F199,Parts!$A$6:$A$45,0)),""))</f>
        <v/>
      </c>
      <c r="Q199" s="23" t="str">
        <f aca="false">IF(OR(J199="",P199="",P199=0),"",J199/P199+IF(OR(N199="",K199=""),0,IFERROR(N199/INDEX(Parts!$E$6:$E$45,MATCH(K199,Parts!$A$6:$A$45,0)),0)))</f>
        <v/>
      </c>
      <c r="R199" s="24" t="str">
        <f aca="false">IF(B199="","",IF(J199="",0,J199*IFERROR(INDEX(Parts!$F$6:$F$45,MATCH(F199,Parts!$A$6:$A$45,0)),0))+IF(N199="",0,N199*IFERROR(INDEX(Parts!$F$6:$F$45,MATCH(K199,Parts!$A$6:$A$45,0)),0)))</f>
        <v/>
      </c>
      <c r="S199" s="19"/>
      <c r="T199" s="19"/>
      <c r="U199" s="18" t="str">
        <f aca="false">IF(B199="","",IF(F199="",Settings!$B$9,IFERROR(INDEX(Parts!$H$6:$H$45,MATCH(F199,Parts!$A$6:$A$45,0))+0,Settings!$B$9)))</f>
        <v/>
      </c>
      <c r="V199" s="22" t="str">
        <f aca="false">IF(B199="","",IF(INDEX($E$7:$E$336,ROW()-6+Settings!$B$7)&lt;&gt;"",INDEX($E$7:$E$336,ROW()-6+Settings!$B$7),E199+Settings!$B$7*D199/1440))</f>
        <v/>
      </c>
      <c r="W199" s="22" t="str">
        <f aca="false">IF(B199="","",IF(INDEX($E$7:$E$336,ROW()-6+Settings!$B$7+Settings!$B$8)&lt;&gt;"",INDEX($E$7:$E$336,ROW()-6+Settings!$B$7+Settings!$B$8),E199+(Settings!$B$7+Settings!$B$8)*D199/1440)+U199/1440)</f>
        <v/>
      </c>
      <c r="X199" s="18" t="str">
        <f aca="false">IF(B199="","",IF(INDEX($E$7:$E$336,ROW()-6+Settings!$B$7+Settings!$B$8)&lt;&gt;"","line","estimate"))</f>
        <v/>
      </c>
      <c r="Y199" s="25" t="str">
        <f aca="false">IF(B199="","",INT(W199-Settings!$B$6))</f>
        <v/>
      </c>
      <c r="Z199" s="19"/>
      <c r="AA199" s="18" t="str">
        <f aca="false">IF(B199="","",IF(AND(B199&lt;&gt;"Empty",F199=""),"part missing; ","")&amp;IF(AND(F199&lt;&gt;"",J199=""),"pieces missing; ","")&amp;IF(AND(F199&lt;&gt;"",O199=""),"part not on the Parts sheet; ","")&amp;IF(AND(B199="Empty",OR(F199&lt;&gt;"",K199&lt;&gt;"")),"empty tray with parts; ","")&amp;IF(AND(B199="Loaded",K199&lt;&gt;""),"second part: type Mixed; ","")&amp;IF(AND(Q199&lt;&gt;"",N(Q199)&gt;1),"over 100 % of the spec load; ","")&amp;IF(N(R199)&gt;Settings!$B$10,"over the tray maximum (kg); ","")&amp;IF(AND(K199&lt;&gt;"",IFERROR(INDEX(Parts!$C$6:$C$45,MATCH(K199,Parts!$A$6:$A$45,0)),O199)&lt;&gt;O199),"different processes in one tray; ","")&amp;IF(AND(S199&lt;&gt;"",T199=""),"rework reason missing; ",""))</f>
        <v/>
      </c>
    </row>
    <row r="200" customFormat="false" ht="15" hidden="false" customHeight="false" outlineLevel="0" collapsed="false">
      <c r="A200" s="18" t="str">
        <f aca="false">IF(B200="","",COUNTA(B$7:B200))</f>
        <v/>
      </c>
      <c r="B200" s="19"/>
      <c r="C200" s="20"/>
      <c r="D200" s="19" t="str">
        <f aca="false">IF(B200="","",IF(D199="",Report!$B$12,D199))</f>
        <v/>
      </c>
      <c r="E200" s="22" t="str">
        <f aca="false">IF(B200="","",IF(C200&lt;&gt;"",C200,E199+D199/1440+SUMIFS(Holds!$F$7:$F$46,Holds!$B$7:$B$46,"&gt;="&amp;E199,Holds!$B$7:$B$46,"&lt;"&amp;E199+D199/1440)/1440))</f>
        <v/>
      </c>
      <c r="F200" s="19"/>
      <c r="G200" s="19"/>
      <c r="H200" s="19"/>
      <c r="I200" s="19"/>
      <c r="J200" s="19"/>
      <c r="K200" s="19"/>
      <c r="L200" s="19"/>
      <c r="M200" s="19"/>
      <c r="N200" s="19"/>
      <c r="O200" s="18" t="str">
        <f aca="false">IF(F200="","",IFERROR(INDEX(Parts!$C$6:$C$45,MATCH(F200,Parts!$A$6:$A$45,0)),""))</f>
        <v/>
      </c>
      <c r="P200" s="18" t="str">
        <f aca="false">IF(F200="","",IFERROR(INDEX(Parts!$E$6:$E$45,MATCH(F200,Parts!$A$6:$A$45,0)),""))</f>
        <v/>
      </c>
      <c r="Q200" s="23" t="str">
        <f aca="false">IF(OR(J200="",P200="",P200=0),"",J200/P200+IF(OR(N200="",K200=""),0,IFERROR(N200/INDEX(Parts!$E$6:$E$45,MATCH(K200,Parts!$A$6:$A$45,0)),0)))</f>
        <v/>
      </c>
      <c r="R200" s="24" t="str">
        <f aca="false">IF(B200="","",IF(J200="",0,J200*IFERROR(INDEX(Parts!$F$6:$F$45,MATCH(F200,Parts!$A$6:$A$45,0)),0))+IF(N200="",0,N200*IFERROR(INDEX(Parts!$F$6:$F$45,MATCH(K200,Parts!$A$6:$A$45,0)),0)))</f>
        <v/>
      </c>
      <c r="S200" s="19"/>
      <c r="T200" s="19"/>
      <c r="U200" s="18" t="str">
        <f aca="false">IF(B200="","",IF(F200="",Settings!$B$9,IFERROR(INDEX(Parts!$H$6:$H$45,MATCH(F200,Parts!$A$6:$A$45,0))+0,Settings!$B$9)))</f>
        <v/>
      </c>
      <c r="V200" s="22" t="str">
        <f aca="false">IF(B200="","",IF(INDEX($E$7:$E$336,ROW()-6+Settings!$B$7)&lt;&gt;"",INDEX($E$7:$E$336,ROW()-6+Settings!$B$7),E200+Settings!$B$7*D200/1440))</f>
        <v/>
      </c>
      <c r="W200" s="22" t="str">
        <f aca="false">IF(B200="","",IF(INDEX($E$7:$E$336,ROW()-6+Settings!$B$7+Settings!$B$8)&lt;&gt;"",INDEX($E$7:$E$336,ROW()-6+Settings!$B$7+Settings!$B$8),E200+(Settings!$B$7+Settings!$B$8)*D200/1440)+U200/1440)</f>
        <v/>
      </c>
      <c r="X200" s="18" t="str">
        <f aca="false">IF(B200="","",IF(INDEX($E$7:$E$336,ROW()-6+Settings!$B$7+Settings!$B$8)&lt;&gt;"","line","estimate"))</f>
        <v/>
      </c>
      <c r="Y200" s="25" t="str">
        <f aca="false">IF(B200="","",INT(W200-Settings!$B$6))</f>
        <v/>
      </c>
      <c r="Z200" s="19"/>
      <c r="AA200" s="18" t="str">
        <f aca="false">IF(B200="","",IF(AND(B200&lt;&gt;"Empty",F200=""),"part missing; ","")&amp;IF(AND(F200&lt;&gt;"",J200=""),"pieces missing; ","")&amp;IF(AND(F200&lt;&gt;"",O200=""),"part not on the Parts sheet; ","")&amp;IF(AND(B200="Empty",OR(F200&lt;&gt;"",K200&lt;&gt;"")),"empty tray with parts; ","")&amp;IF(AND(B200="Loaded",K200&lt;&gt;""),"second part: type Mixed; ","")&amp;IF(AND(Q200&lt;&gt;"",N(Q200)&gt;1),"over 100 % of the spec load; ","")&amp;IF(N(R200)&gt;Settings!$B$10,"over the tray maximum (kg); ","")&amp;IF(AND(K200&lt;&gt;"",IFERROR(INDEX(Parts!$C$6:$C$45,MATCH(K200,Parts!$A$6:$A$45,0)),O200)&lt;&gt;O200),"different processes in one tray; ","")&amp;IF(AND(S200&lt;&gt;"",T200=""),"rework reason missing; ",""))</f>
        <v/>
      </c>
    </row>
    <row r="201" customFormat="false" ht="15" hidden="false" customHeight="false" outlineLevel="0" collapsed="false">
      <c r="A201" s="18" t="str">
        <f aca="false">IF(B201="","",COUNTA(B$7:B201))</f>
        <v/>
      </c>
      <c r="B201" s="19"/>
      <c r="C201" s="20"/>
      <c r="D201" s="19" t="str">
        <f aca="false">IF(B201="","",IF(D200="",Report!$B$12,D200))</f>
        <v/>
      </c>
      <c r="E201" s="22" t="str">
        <f aca="false">IF(B201="","",IF(C201&lt;&gt;"",C201,E200+D200/1440+SUMIFS(Holds!$F$7:$F$46,Holds!$B$7:$B$46,"&gt;="&amp;E200,Holds!$B$7:$B$46,"&lt;"&amp;E200+D200/1440)/1440))</f>
        <v/>
      </c>
      <c r="F201" s="19"/>
      <c r="G201" s="19"/>
      <c r="H201" s="19"/>
      <c r="I201" s="19"/>
      <c r="J201" s="19"/>
      <c r="K201" s="19"/>
      <c r="L201" s="19"/>
      <c r="M201" s="19"/>
      <c r="N201" s="19"/>
      <c r="O201" s="18" t="str">
        <f aca="false">IF(F201="","",IFERROR(INDEX(Parts!$C$6:$C$45,MATCH(F201,Parts!$A$6:$A$45,0)),""))</f>
        <v/>
      </c>
      <c r="P201" s="18" t="str">
        <f aca="false">IF(F201="","",IFERROR(INDEX(Parts!$E$6:$E$45,MATCH(F201,Parts!$A$6:$A$45,0)),""))</f>
        <v/>
      </c>
      <c r="Q201" s="23" t="str">
        <f aca="false">IF(OR(J201="",P201="",P201=0),"",J201/P201+IF(OR(N201="",K201=""),0,IFERROR(N201/INDEX(Parts!$E$6:$E$45,MATCH(K201,Parts!$A$6:$A$45,0)),0)))</f>
        <v/>
      </c>
      <c r="R201" s="24" t="str">
        <f aca="false">IF(B201="","",IF(J201="",0,J201*IFERROR(INDEX(Parts!$F$6:$F$45,MATCH(F201,Parts!$A$6:$A$45,0)),0))+IF(N201="",0,N201*IFERROR(INDEX(Parts!$F$6:$F$45,MATCH(K201,Parts!$A$6:$A$45,0)),0)))</f>
        <v/>
      </c>
      <c r="S201" s="19"/>
      <c r="T201" s="19"/>
      <c r="U201" s="18" t="str">
        <f aca="false">IF(B201="","",IF(F201="",Settings!$B$9,IFERROR(INDEX(Parts!$H$6:$H$45,MATCH(F201,Parts!$A$6:$A$45,0))+0,Settings!$B$9)))</f>
        <v/>
      </c>
      <c r="V201" s="22" t="str">
        <f aca="false">IF(B201="","",IF(INDEX($E$7:$E$336,ROW()-6+Settings!$B$7)&lt;&gt;"",INDEX($E$7:$E$336,ROW()-6+Settings!$B$7),E201+Settings!$B$7*D201/1440))</f>
        <v/>
      </c>
      <c r="W201" s="22" t="str">
        <f aca="false">IF(B201="","",IF(INDEX($E$7:$E$336,ROW()-6+Settings!$B$7+Settings!$B$8)&lt;&gt;"",INDEX($E$7:$E$336,ROW()-6+Settings!$B$7+Settings!$B$8),E201+(Settings!$B$7+Settings!$B$8)*D201/1440)+U201/1440)</f>
        <v/>
      </c>
      <c r="X201" s="18" t="str">
        <f aca="false">IF(B201="","",IF(INDEX($E$7:$E$336,ROW()-6+Settings!$B$7+Settings!$B$8)&lt;&gt;"","line","estimate"))</f>
        <v/>
      </c>
      <c r="Y201" s="25" t="str">
        <f aca="false">IF(B201="","",INT(W201-Settings!$B$6))</f>
        <v/>
      </c>
      <c r="Z201" s="19"/>
      <c r="AA201" s="18" t="str">
        <f aca="false">IF(B201="","",IF(AND(B201&lt;&gt;"Empty",F201=""),"part missing; ","")&amp;IF(AND(F201&lt;&gt;"",J201=""),"pieces missing; ","")&amp;IF(AND(F201&lt;&gt;"",O201=""),"part not on the Parts sheet; ","")&amp;IF(AND(B201="Empty",OR(F201&lt;&gt;"",K201&lt;&gt;"")),"empty tray with parts; ","")&amp;IF(AND(B201="Loaded",K201&lt;&gt;""),"second part: type Mixed; ","")&amp;IF(AND(Q201&lt;&gt;"",N(Q201)&gt;1),"over 100 % of the spec load; ","")&amp;IF(N(R201)&gt;Settings!$B$10,"over the tray maximum (kg); ","")&amp;IF(AND(K201&lt;&gt;"",IFERROR(INDEX(Parts!$C$6:$C$45,MATCH(K201,Parts!$A$6:$A$45,0)),O201)&lt;&gt;O201),"different processes in one tray; ","")&amp;IF(AND(S201&lt;&gt;"",T201=""),"rework reason missing; ",""))</f>
        <v/>
      </c>
    </row>
    <row r="202" customFormat="false" ht="15" hidden="false" customHeight="false" outlineLevel="0" collapsed="false">
      <c r="A202" s="18" t="str">
        <f aca="false">IF(B202="","",COUNTA(B$7:B202))</f>
        <v/>
      </c>
      <c r="B202" s="19"/>
      <c r="C202" s="20"/>
      <c r="D202" s="19" t="str">
        <f aca="false">IF(B202="","",IF(D201="",Report!$B$12,D201))</f>
        <v/>
      </c>
      <c r="E202" s="22" t="str">
        <f aca="false">IF(B202="","",IF(C202&lt;&gt;"",C202,E201+D201/1440+SUMIFS(Holds!$F$7:$F$46,Holds!$B$7:$B$46,"&gt;="&amp;E201,Holds!$B$7:$B$46,"&lt;"&amp;E201+D201/1440)/1440))</f>
        <v/>
      </c>
      <c r="F202" s="19"/>
      <c r="G202" s="19"/>
      <c r="H202" s="19"/>
      <c r="I202" s="19"/>
      <c r="J202" s="19"/>
      <c r="K202" s="19"/>
      <c r="L202" s="19"/>
      <c r="M202" s="19"/>
      <c r="N202" s="19"/>
      <c r="O202" s="18" t="str">
        <f aca="false">IF(F202="","",IFERROR(INDEX(Parts!$C$6:$C$45,MATCH(F202,Parts!$A$6:$A$45,0)),""))</f>
        <v/>
      </c>
      <c r="P202" s="18" t="str">
        <f aca="false">IF(F202="","",IFERROR(INDEX(Parts!$E$6:$E$45,MATCH(F202,Parts!$A$6:$A$45,0)),""))</f>
        <v/>
      </c>
      <c r="Q202" s="23" t="str">
        <f aca="false">IF(OR(J202="",P202="",P202=0),"",J202/P202+IF(OR(N202="",K202=""),0,IFERROR(N202/INDEX(Parts!$E$6:$E$45,MATCH(K202,Parts!$A$6:$A$45,0)),0)))</f>
        <v/>
      </c>
      <c r="R202" s="24" t="str">
        <f aca="false">IF(B202="","",IF(J202="",0,J202*IFERROR(INDEX(Parts!$F$6:$F$45,MATCH(F202,Parts!$A$6:$A$45,0)),0))+IF(N202="",0,N202*IFERROR(INDEX(Parts!$F$6:$F$45,MATCH(K202,Parts!$A$6:$A$45,0)),0)))</f>
        <v/>
      </c>
      <c r="S202" s="19"/>
      <c r="T202" s="19"/>
      <c r="U202" s="18" t="str">
        <f aca="false">IF(B202="","",IF(F202="",Settings!$B$9,IFERROR(INDEX(Parts!$H$6:$H$45,MATCH(F202,Parts!$A$6:$A$45,0))+0,Settings!$B$9)))</f>
        <v/>
      </c>
      <c r="V202" s="22" t="str">
        <f aca="false">IF(B202="","",IF(INDEX($E$7:$E$336,ROW()-6+Settings!$B$7)&lt;&gt;"",INDEX($E$7:$E$336,ROW()-6+Settings!$B$7),E202+Settings!$B$7*D202/1440))</f>
        <v/>
      </c>
      <c r="W202" s="22" t="str">
        <f aca="false">IF(B202="","",IF(INDEX($E$7:$E$336,ROW()-6+Settings!$B$7+Settings!$B$8)&lt;&gt;"",INDEX($E$7:$E$336,ROW()-6+Settings!$B$7+Settings!$B$8),E202+(Settings!$B$7+Settings!$B$8)*D202/1440)+U202/1440)</f>
        <v/>
      </c>
      <c r="X202" s="18" t="str">
        <f aca="false">IF(B202="","",IF(INDEX($E$7:$E$336,ROW()-6+Settings!$B$7+Settings!$B$8)&lt;&gt;"","line","estimate"))</f>
        <v/>
      </c>
      <c r="Y202" s="25" t="str">
        <f aca="false">IF(B202="","",INT(W202-Settings!$B$6))</f>
        <v/>
      </c>
      <c r="Z202" s="19"/>
      <c r="AA202" s="18" t="str">
        <f aca="false">IF(B202="","",IF(AND(B202&lt;&gt;"Empty",F202=""),"part missing; ","")&amp;IF(AND(F202&lt;&gt;"",J202=""),"pieces missing; ","")&amp;IF(AND(F202&lt;&gt;"",O202=""),"part not on the Parts sheet; ","")&amp;IF(AND(B202="Empty",OR(F202&lt;&gt;"",K202&lt;&gt;"")),"empty tray with parts; ","")&amp;IF(AND(B202="Loaded",K202&lt;&gt;""),"second part: type Mixed; ","")&amp;IF(AND(Q202&lt;&gt;"",N(Q202)&gt;1),"over 100 % of the spec load; ","")&amp;IF(N(R202)&gt;Settings!$B$10,"over the tray maximum (kg); ","")&amp;IF(AND(K202&lt;&gt;"",IFERROR(INDEX(Parts!$C$6:$C$45,MATCH(K202,Parts!$A$6:$A$45,0)),O202)&lt;&gt;O202),"different processes in one tray; ","")&amp;IF(AND(S202&lt;&gt;"",T202=""),"rework reason missing; ",""))</f>
        <v/>
      </c>
    </row>
    <row r="203" customFormat="false" ht="15" hidden="false" customHeight="false" outlineLevel="0" collapsed="false">
      <c r="A203" s="18" t="str">
        <f aca="false">IF(B203="","",COUNTA(B$7:B203))</f>
        <v/>
      </c>
      <c r="B203" s="19"/>
      <c r="C203" s="20"/>
      <c r="D203" s="19" t="str">
        <f aca="false">IF(B203="","",IF(D202="",Report!$B$12,D202))</f>
        <v/>
      </c>
      <c r="E203" s="22" t="str">
        <f aca="false">IF(B203="","",IF(C203&lt;&gt;"",C203,E202+D202/1440+SUMIFS(Holds!$F$7:$F$46,Holds!$B$7:$B$46,"&gt;="&amp;E202,Holds!$B$7:$B$46,"&lt;"&amp;E202+D202/1440)/1440))</f>
        <v/>
      </c>
      <c r="F203" s="19"/>
      <c r="G203" s="19"/>
      <c r="H203" s="19"/>
      <c r="I203" s="19"/>
      <c r="J203" s="19"/>
      <c r="K203" s="19"/>
      <c r="L203" s="19"/>
      <c r="M203" s="19"/>
      <c r="N203" s="19"/>
      <c r="O203" s="18" t="str">
        <f aca="false">IF(F203="","",IFERROR(INDEX(Parts!$C$6:$C$45,MATCH(F203,Parts!$A$6:$A$45,0)),""))</f>
        <v/>
      </c>
      <c r="P203" s="18" t="str">
        <f aca="false">IF(F203="","",IFERROR(INDEX(Parts!$E$6:$E$45,MATCH(F203,Parts!$A$6:$A$45,0)),""))</f>
        <v/>
      </c>
      <c r="Q203" s="23" t="str">
        <f aca="false">IF(OR(J203="",P203="",P203=0),"",J203/P203+IF(OR(N203="",K203=""),0,IFERROR(N203/INDEX(Parts!$E$6:$E$45,MATCH(K203,Parts!$A$6:$A$45,0)),0)))</f>
        <v/>
      </c>
      <c r="R203" s="24" t="str">
        <f aca="false">IF(B203="","",IF(J203="",0,J203*IFERROR(INDEX(Parts!$F$6:$F$45,MATCH(F203,Parts!$A$6:$A$45,0)),0))+IF(N203="",0,N203*IFERROR(INDEX(Parts!$F$6:$F$45,MATCH(K203,Parts!$A$6:$A$45,0)),0)))</f>
        <v/>
      </c>
      <c r="S203" s="19"/>
      <c r="T203" s="19"/>
      <c r="U203" s="18" t="str">
        <f aca="false">IF(B203="","",IF(F203="",Settings!$B$9,IFERROR(INDEX(Parts!$H$6:$H$45,MATCH(F203,Parts!$A$6:$A$45,0))+0,Settings!$B$9)))</f>
        <v/>
      </c>
      <c r="V203" s="22" t="str">
        <f aca="false">IF(B203="","",IF(INDEX($E$7:$E$336,ROW()-6+Settings!$B$7)&lt;&gt;"",INDEX($E$7:$E$336,ROW()-6+Settings!$B$7),E203+Settings!$B$7*D203/1440))</f>
        <v/>
      </c>
      <c r="W203" s="22" t="str">
        <f aca="false">IF(B203="","",IF(INDEX($E$7:$E$336,ROW()-6+Settings!$B$7+Settings!$B$8)&lt;&gt;"",INDEX($E$7:$E$336,ROW()-6+Settings!$B$7+Settings!$B$8),E203+(Settings!$B$7+Settings!$B$8)*D203/1440)+U203/1440)</f>
        <v/>
      </c>
      <c r="X203" s="18" t="str">
        <f aca="false">IF(B203="","",IF(INDEX($E$7:$E$336,ROW()-6+Settings!$B$7+Settings!$B$8)&lt;&gt;"","line","estimate"))</f>
        <v/>
      </c>
      <c r="Y203" s="25" t="str">
        <f aca="false">IF(B203="","",INT(W203-Settings!$B$6))</f>
        <v/>
      </c>
      <c r="Z203" s="19"/>
      <c r="AA203" s="18" t="str">
        <f aca="false">IF(B203="","",IF(AND(B203&lt;&gt;"Empty",F203=""),"part missing; ","")&amp;IF(AND(F203&lt;&gt;"",J203=""),"pieces missing; ","")&amp;IF(AND(F203&lt;&gt;"",O203=""),"part not on the Parts sheet; ","")&amp;IF(AND(B203="Empty",OR(F203&lt;&gt;"",K203&lt;&gt;"")),"empty tray with parts; ","")&amp;IF(AND(B203="Loaded",K203&lt;&gt;""),"second part: type Mixed; ","")&amp;IF(AND(Q203&lt;&gt;"",N(Q203)&gt;1),"over 100 % of the spec load; ","")&amp;IF(N(R203)&gt;Settings!$B$10,"over the tray maximum (kg); ","")&amp;IF(AND(K203&lt;&gt;"",IFERROR(INDEX(Parts!$C$6:$C$45,MATCH(K203,Parts!$A$6:$A$45,0)),O203)&lt;&gt;O203),"different processes in one tray; ","")&amp;IF(AND(S203&lt;&gt;"",T203=""),"rework reason missing; ",""))</f>
        <v/>
      </c>
    </row>
    <row r="204" customFormat="false" ht="15" hidden="false" customHeight="false" outlineLevel="0" collapsed="false">
      <c r="A204" s="18" t="str">
        <f aca="false">IF(B204="","",COUNTA(B$7:B204))</f>
        <v/>
      </c>
      <c r="B204" s="19"/>
      <c r="C204" s="20"/>
      <c r="D204" s="19" t="str">
        <f aca="false">IF(B204="","",IF(D203="",Report!$B$12,D203))</f>
        <v/>
      </c>
      <c r="E204" s="22" t="str">
        <f aca="false">IF(B204="","",IF(C204&lt;&gt;"",C204,E203+D203/1440+SUMIFS(Holds!$F$7:$F$46,Holds!$B$7:$B$46,"&gt;="&amp;E203,Holds!$B$7:$B$46,"&lt;"&amp;E203+D203/1440)/1440))</f>
        <v/>
      </c>
      <c r="F204" s="19"/>
      <c r="G204" s="19"/>
      <c r="H204" s="19"/>
      <c r="I204" s="19"/>
      <c r="J204" s="19"/>
      <c r="K204" s="19"/>
      <c r="L204" s="19"/>
      <c r="M204" s="19"/>
      <c r="N204" s="19"/>
      <c r="O204" s="18" t="str">
        <f aca="false">IF(F204="","",IFERROR(INDEX(Parts!$C$6:$C$45,MATCH(F204,Parts!$A$6:$A$45,0)),""))</f>
        <v/>
      </c>
      <c r="P204" s="18" t="str">
        <f aca="false">IF(F204="","",IFERROR(INDEX(Parts!$E$6:$E$45,MATCH(F204,Parts!$A$6:$A$45,0)),""))</f>
        <v/>
      </c>
      <c r="Q204" s="23" t="str">
        <f aca="false">IF(OR(J204="",P204="",P204=0),"",J204/P204+IF(OR(N204="",K204=""),0,IFERROR(N204/INDEX(Parts!$E$6:$E$45,MATCH(K204,Parts!$A$6:$A$45,0)),0)))</f>
        <v/>
      </c>
      <c r="R204" s="24" t="str">
        <f aca="false">IF(B204="","",IF(J204="",0,J204*IFERROR(INDEX(Parts!$F$6:$F$45,MATCH(F204,Parts!$A$6:$A$45,0)),0))+IF(N204="",0,N204*IFERROR(INDEX(Parts!$F$6:$F$45,MATCH(K204,Parts!$A$6:$A$45,0)),0)))</f>
        <v/>
      </c>
      <c r="S204" s="19"/>
      <c r="T204" s="19"/>
      <c r="U204" s="18" t="str">
        <f aca="false">IF(B204="","",IF(F204="",Settings!$B$9,IFERROR(INDEX(Parts!$H$6:$H$45,MATCH(F204,Parts!$A$6:$A$45,0))+0,Settings!$B$9)))</f>
        <v/>
      </c>
      <c r="V204" s="22" t="str">
        <f aca="false">IF(B204="","",IF(INDEX($E$7:$E$336,ROW()-6+Settings!$B$7)&lt;&gt;"",INDEX($E$7:$E$336,ROW()-6+Settings!$B$7),E204+Settings!$B$7*D204/1440))</f>
        <v/>
      </c>
      <c r="W204" s="22" t="str">
        <f aca="false">IF(B204="","",IF(INDEX($E$7:$E$336,ROW()-6+Settings!$B$7+Settings!$B$8)&lt;&gt;"",INDEX($E$7:$E$336,ROW()-6+Settings!$B$7+Settings!$B$8),E204+(Settings!$B$7+Settings!$B$8)*D204/1440)+U204/1440)</f>
        <v/>
      </c>
      <c r="X204" s="18" t="str">
        <f aca="false">IF(B204="","",IF(INDEX($E$7:$E$336,ROW()-6+Settings!$B$7+Settings!$B$8)&lt;&gt;"","line","estimate"))</f>
        <v/>
      </c>
      <c r="Y204" s="25" t="str">
        <f aca="false">IF(B204="","",INT(W204-Settings!$B$6))</f>
        <v/>
      </c>
      <c r="Z204" s="19"/>
      <c r="AA204" s="18" t="str">
        <f aca="false">IF(B204="","",IF(AND(B204&lt;&gt;"Empty",F204=""),"part missing; ","")&amp;IF(AND(F204&lt;&gt;"",J204=""),"pieces missing; ","")&amp;IF(AND(F204&lt;&gt;"",O204=""),"part not on the Parts sheet; ","")&amp;IF(AND(B204="Empty",OR(F204&lt;&gt;"",K204&lt;&gt;"")),"empty tray with parts; ","")&amp;IF(AND(B204="Loaded",K204&lt;&gt;""),"second part: type Mixed; ","")&amp;IF(AND(Q204&lt;&gt;"",N(Q204)&gt;1),"over 100 % of the spec load; ","")&amp;IF(N(R204)&gt;Settings!$B$10,"over the tray maximum (kg); ","")&amp;IF(AND(K204&lt;&gt;"",IFERROR(INDEX(Parts!$C$6:$C$45,MATCH(K204,Parts!$A$6:$A$45,0)),O204)&lt;&gt;O204),"different processes in one tray; ","")&amp;IF(AND(S204&lt;&gt;"",T204=""),"rework reason missing; ",""))</f>
        <v/>
      </c>
    </row>
    <row r="205" customFormat="false" ht="15" hidden="false" customHeight="false" outlineLevel="0" collapsed="false">
      <c r="A205" s="18" t="str">
        <f aca="false">IF(B205="","",COUNTA(B$7:B205))</f>
        <v/>
      </c>
      <c r="B205" s="19"/>
      <c r="C205" s="20"/>
      <c r="D205" s="19" t="str">
        <f aca="false">IF(B205="","",IF(D204="",Report!$B$12,D204))</f>
        <v/>
      </c>
      <c r="E205" s="22" t="str">
        <f aca="false">IF(B205="","",IF(C205&lt;&gt;"",C205,E204+D204/1440+SUMIFS(Holds!$F$7:$F$46,Holds!$B$7:$B$46,"&gt;="&amp;E204,Holds!$B$7:$B$46,"&lt;"&amp;E204+D204/1440)/1440))</f>
        <v/>
      </c>
      <c r="F205" s="19"/>
      <c r="G205" s="19"/>
      <c r="H205" s="19"/>
      <c r="I205" s="19"/>
      <c r="J205" s="19"/>
      <c r="K205" s="19"/>
      <c r="L205" s="19"/>
      <c r="M205" s="19"/>
      <c r="N205" s="19"/>
      <c r="O205" s="18" t="str">
        <f aca="false">IF(F205="","",IFERROR(INDEX(Parts!$C$6:$C$45,MATCH(F205,Parts!$A$6:$A$45,0)),""))</f>
        <v/>
      </c>
      <c r="P205" s="18" t="str">
        <f aca="false">IF(F205="","",IFERROR(INDEX(Parts!$E$6:$E$45,MATCH(F205,Parts!$A$6:$A$45,0)),""))</f>
        <v/>
      </c>
      <c r="Q205" s="23" t="str">
        <f aca="false">IF(OR(J205="",P205="",P205=0),"",J205/P205+IF(OR(N205="",K205=""),0,IFERROR(N205/INDEX(Parts!$E$6:$E$45,MATCH(K205,Parts!$A$6:$A$45,0)),0)))</f>
        <v/>
      </c>
      <c r="R205" s="24" t="str">
        <f aca="false">IF(B205="","",IF(J205="",0,J205*IFERROR(INDEX(Parts!$F$6:$F$45,MATCH(F205,Parts!$A$6:$A$45,0)),0))+IF(N205="",0,N205*IFERROR(INDEX(Parts!$F$6:$F$45,MATCH(K205,Parts!$A$6:$A$45,0)),0)))</f>
        <v/>
      </c>
      <c r="S205" s="19"/>
      <c r="T205" s="19"/>
      <c r="U205" s="18" t="str">
        <f aca="false">IF(B205="","",IF(F205="",Settings!$B$9,IFERROR(INDEX(Parts!$H$6:$H$45,MATCH(F205,Parts!$A$6:$A$45,0))+0,Settings!$B$9)))</f>
        <v/>
      </c>
      <c r="V205" s="22" t="str">
        <f aca="false">IF(B205="","",IF(INDEX($E$7:$E$336,ROW()-6+Settings!$B$7)&lt;&gt;"",INDEX($E$7:$E$336,ROW()-6+Settings!$B$7),E205+Settings!$B$7*D205/1440))</f>
        <v/>
      </c>
      <c r="W205" s="22" t="str">
        <f aca="false">IF(B205="","",IF(INDEX($E$7:$E$336,ROW()-6+Settings!$B$7+Settings!$B$8)&lt;&gt;"",INDEX($E$7:$E$336,ROW()-6+Settings!$B$7+Settings!$B$8),E205+(Settings!$B$7+Settings!$B$8)*D205/1440)+U205/1440)</f>
        <v/>
      </c>
      <c r="X205" s="18" t="str">
        <f aca="false">IF(B205="","",IF(INDEX($E$7:$E$336,ROW()-6+Settings!$B$7+Settings!$B$8)&lt;&gt;"","line","estimate"))</f>
        <v/>
      </c>
      <c r="Y205" s="25" t="str">
        <f aca="false">IF(B205="","",INT(W205-Settings!$B$6))</f>
        <v/>
      </c>
      <c r="Z205" s="19"/>
      <c r="AA205" s="18" t="str">
        <f aca="false">IF(B205="","",IF(AND(B205&lt;&gt;"Empty",F205=""),"part missing; ","")&amp;IF(AND(F205&lt;&gt;"",J205=""),"pieces missing; ","")&amp;IF(AND(F205&lt;&gt;"",O205=""),"part not on the Parts sheet; ","")&amp;IF(AND(B205="Empty",OR(F205&lt;&gt;"",K205&lt;&gt;"")),"empty tray with parts; ","")&amp;IF(AND(B205="Loaded",K205&lt;&gt;""),"second part: type Mixed; ","")&amp;IF(AND(Q205&lt;&gt;"",N(Q205)&gt;1),"over 100 % of the spec load; ","")&amp;IF(N(R205)&gt;Settings!$B$10,"over the tray maximum (kg); ","")&amp;IF(AND(K205&lt;&gt;"",IFERROR(INDEX(Parts!$C$6:$C$45,MATCH(K205,Parts!$A$6:$A$45,0)),O205)&lt;&gt;O205),"different processes in one tray; ","")&amp;IF(AND(S205&lt;&gt;"",T205=""),"rework reason missing; ",""))</f>
        <v/>
      </c>
    </row>
    <row r="206" customFormat="false" ht="15" hidden="false" customHeight="false" outlineLevel="0" collapsed="false">
      <c r="A206" s="18" t="str">
        <f aca="false">IF(B206="","",COUNTA(B$7:B206))</f>
        <v/>
      </c>
      <c r="B206" s="19"/>
      <c r="C206" s="20"/>
      <c r="D206" s="19" t="str">
        <f aca="false">IF(B206="","",IF(D205="",Report!$B$12,D205))</f>
        <v/>
      </c>
      <c r="E206" s="22" t="str">
        <f aca="false">IF(B206="","",IF(C206&lt;&gt;"",C206,E205+D205/1440+SUMIFS(Holds!$F$7:$F$46,Holds!$B$7:$B$46,"&gt;="&amp;E205,Holds!$B$7:$B$46,"&lt;"&amp;E205+D205/1440)/1440))</f>
        <v/>
      </c>
      <c r="F206" s="19"/>
      <c r="G206" s="19"/>
      <c r="H206" s="19"/>
      <c r="I206" s="19"/>
      <c r="J206" s="19"/>
      <c r="K206" s="19"/>
      <c r="L206" s="19"/>
      <c r="M206" s="19"/>
      <c r="N206" s="19"/>
      <c r="O206" s="18" t="str">
        <f aca="false">IF(F206="","",IFERROR(INDEX(Parts!$C$6:$C$45,MATCH(F206,Parts!$A$6:$A$45,0)),""))</f>
        <v/>
      </c>
      <c r="P206" s="18" t="str">
        <f aca="false">IF(F206="","",IFERROR(INDEX(Parts!$E$6:$E$45,MATCH(F206,Parts!$A$6:$A$45,0)),""))</f>
        <v/>
      </c>
      <c r="Q206" s="23" t="str">
        <f aca="false">IF(OR(J206="",P206="",P206=0),"",J206/P206+IF(OR(N206="",K206=""),0,IFERROR(N206/INDEX(Parts!$E$6:$E$45,MATCH(K206,Parts!$A$6:$A$45,0)),0)))</f>
        <v/>
      </c>
      <c r="R206" s="24" t="str">
        <f aca="false">IF(B206="","",IF(J206="",0,J206*IFERROR(INDEX(Parts!$F$6:$F$45,MATCH(F206,Parts!$A$6:$A$45,0)),0))+IF(N206="",0,N206*IFERROR(INDEX(Parts!$F$6:$F$45,MATCH(K206,Parts!$A$6:$A$45,0)),0)))</f>
        <v/>
      </c>
      <c r="S206" s="19"/>
      <c r="T206" s="19"/>
      <c r="U206" s="18" t="str">
        <f aca="false">IF(B206="","",IF(F206="",Settings!$B$9,IFERROR(INDEX(Parts!$H$6:$H$45,MATCH(F206,Parts!$A$6:$A$45,0))+0,Settings!$B$9)))</f>
        <v/>
      </c>
      <c r="V206" s="22" t="str">
        <f aca="false">IF(B206="","",IF(INDEX($E$7:$E$336,ROW()-6+Settings!$B$7)&lt;&gt;"",INDEX($E$7:$E$336,ROW()-6+Settings!$B$7),E206+Settings!$B$7*D206/1440))</f>
        <v/>
      </c>
      <c r="W206" s="22" t="str">
        <f aca="false">IF(B206="","",IF(INDEX($E$7:$E$336,ROW()-6+Settings!$B$7+Settings!$B$8)&lt;&gt;"",INDEX($E$7:$E$336,ROW()-6+Settings!$B$7+Settings!$B$8),E206+(Settings!$B$7+Settings!$B$8)*D206/1440)+U206/1440)</f>
        <v/>
      </c>
      <c r="X206" s="18" t="str">
        <f aca="false">IF(B206="","",IF(INDEX($E$7:$E$336,ROW()-6+Settings!$B$7+Settings!$B$8)&lt;&gt;"","line","estimate"))</f>
        <v/>
      </c>
      <c r="Y206" s="25" t="str">
        <f aca="false">IF(B206="","",INT(W206-Settings!$B$6))</f>
        <v/>
      </c>
      <c r="Z206" s="19"/>
      <c r="AA206" s="18" t="str">
        <f aca="false">IF(B206="","",IF(AND(B206&lt;&gt;"Empty",F206=""),"part missing; ","")&amp;IF(AND(F206&lt;&gt;"",J206=""),"pieces missing; ","")&amp;IF(AND(F206&lt;&gt;"",O206=""),"part not on the Parts sheet; ","")&amp;IF(AND(B206="Empty",OR(F206&lt;&gt;"",K206&lt;&gt;"")),"empty tray with parts; ","")&amp;IF(AND(B206="Loaded",K206&lt;&gt;""),"second part: type Mixed; ","")&amp;IF(AND(Q206&lt;&gt;"",N(Q206)&gt;1),"over 100 % of the spec load; ","")&amp;IF(N(R206)&gt;Settings!$B$10,"over the tray maximum (kg); ","")&amp;IF(AND(K206&lt;&gt;"",IFERROR(INDEX(Parts!$C$6:$C$45,MATCH(K206,Parts!$A$6:$A$45,0)),O206)&lt;&gt;O206),"different processes in one tray; ","")&amp;IF(AND(S206&lt;&gt;"",T206=""),"rework reason missing; ",""))</f>
        <v/>
      </c>
    </row>
    <row r="207" customFormat="false" ht="15" hidden="false" customHeight="false" outlineLevel="0" collapsed="false">
      <c r="A207" s="18" t="str">
        <f aca="false">IF(B207="","",COUNTA(B$7:B207))</f>
        <v/>
      </c>
      <c r="B207" s="19"/>
      <c r="C207" s="20"/>
      <c r="D207" s="19" t="str">
        <f aca="false">IF(B207="","",IF(D206="",Report!$B$12,D206))</f>
        <v/>
      </c>
      <c r="E207" s="22" t="str">
        <f aca="false">IF(B207="","",IF(C207&lt;&gt;"",C207,E206+D206/1440+SUMIFS(Holds!$F$7:$F$46,Holds!$B$7:$B$46,"&gt;="&amp;E206,Holds!$B$7:$B$46,"&lt;"&amp;E206+D206/1440)/1440))</f>
        <v/>
      </c>
      <c r="F207" s="19"/>
      <c r="G207" s="19"/>
      <c r="H207" s="19"/>
      <c r="I207" s="19"/>
      <c r="J207" s="19"/>
      <c r="K207" s="19"/>
      <c r="L207" s="19"/>
      <c r="M207" s="19"/>
      <c r="N207" s="19"/>
      <c r="O207" s="18" t="str">
        <f aca="false">IF(F207="","",IFERROR(INDEX(Parts!$C$6:$C$45,MATCH(F207,Parts!$A$6:$A$45,0)),""))</f>
        <v/>
      </c>
      <c r="P207" s="18" t="str">
        <f aca="false">IF(F207="","",IFERROR(INDEX(Parts!$E$6:$E$45,MATCH(F207,Parts!$A$6:$A$45,0)),""))</f>
        <v/>
      </c>
      <c r="Q207" s="23" t="str">
        <f aca="false">IF(OR(J207="",P207="",P207=0),"",J207/P207+IF(OR(N207="",K207=""),0,IFERROR(N207/INDEX(Parts!$E$6:$E$45,MATCH(K207,Parts!$A$6:$A$45,0)),0)))</f>
        <v/>
      </c>
      <c r="R207" s="24" t="str">
        <f aca="false">IF(B207="","",IF(J207="",0,J207*IFERROR(INDEX(Parts!$F$6:$F$45,MATCH(F207,Parts!$A$6:$A$45,0)),0))+IF(N207="",0,N207*IFERROR(INDEX(Parts!$F$6:$F$45,MATCH(K207,Parts!$A$6:$A$45,0)),0)))</f>
        <v/>
      </c>
      <c r="S207" s="19"/>
      <c r="T207" s="19"/>
      <c r="U207" s="18" t="str">
        <f aca="false">IF(B207="","",IF(F207="",Settings!$B$9,IFERROR(INDEX(Parts!$H$6:$H$45,MATCH(F207,Parts!$A$6:$A$45,0))+0,Settings!$B$9)))</f>
        <v/>
      </c>
      <c r="V207" s="22" t="str">
        <f aca="false">IF(B207="","",IF(INDEX($E$7:$E$336,ROW()-6+Settings!$B$7)&lt;&gt;"",INDEX($E$7:$E$336,ROW()-6+Settings!$B$7),E207+Settings!$B$7*D207/1440))</f>
        <v/>
      </c>
      <c r="W207" s="22" t="str">
        <f aca="false">IF(B207="","",IF(INDEX($E$7:$E$336,ROW()-6+Settings!$B$7+Settings!$B$8)&lt;&gt;"",INDEX($E$7:$E$336,ROW()-6+Settings!$B$7+Settings!$B$8),E207+(Settings!$B$7+Settings!$B$8)*D207/1440)+U207/1440)</f>
        <v/>
      </c>
      <c r="X207" s="18" t="str">
        <f aca="false">IF(B207="","",IF(INDEX($E$7:$E$336,ROW()-6+Settings!$B$7+Settings!$B$8)&lt;&gt;"","line","estimate"))</f>
        <v/>
      </c>
      <c r="Y207" s="25" t="str">
        <f aca="false">IF(B207="","",INT(W207-Settings!$B$6))</f>
        <v/>
      </c>
      <c r="Z207" s="19"/>
      <c r="AA207" s="18" t="str">
        <f aca="false">IF(B207="","",IF(AND(B207&lt;&gt;"Empty",F207=""),"part missing; ","")&amp;IF(AND(F207&lt;&gt;"",J207=""),"pieces missing; ","")&amp;IF(AND(F207&lt;&gt;"",O207=""),"part not on the Parts sheet; ","")&amp;IF(AND(B207="Empty",OR(F207&lt;&gt;"",K207&lt;&gt;"")),"empty tray with parts; ","")&amp;IF(AND(B207="Loaded",K207&lt;&gt;""),"second part: type Mixed; ","")&amp;IF(AND(Q207&lt;&gt;"",N(Q207)&gt;1),"over 100 % of the spec load; ","")&amp;IF(N(R207)&gt;Settings!$B$10,"over the tray maximum (kg); ","")&amp;IF(AND(K207&lt;&gt;"",IFERROR(INDEX(Parts!$C$6:$C$45,MATCH(K207,Parts!$A$6:$A$45,0)),O207)&lt;&gt;O207),"different processes in one tray; ","")&amp;IF(AND(S207&lt;&gt;"",T207=""),"rework reason missing; ",""))</f>
        <v/>
      </c>
    </row>
    <row r="208" customFormat="false" ht="15" hidden="false" customHeight="false" outlineLevel="0" collapsed="false">
      <c r="A208" s="18" t="str">
        <f aca="false">IF(B208="","",COUNTA(B$7:B208))</f>
        <v/>
      </c>
      <c r="B208" s="19"/>
      <c r="C208" s="20"/>
      <c r="D208" s="19" t="str">
        <f aca="false">IF(B208="","",IF(D207="",Report!$B$12,D207))</f>
        <v/>
      </c>
      <c r="E208" s="22" t="str">
        <f aca="false">IF(B208="","",IF(C208&lt;&gt;"",C208,E207+D207/1440+SUMIFS(Holds!$F$7:$F$46,Holds!$B$7:$B$46,"&gt;="&amp;E207,Holds!$B$7:$B$46,"&lt;"&amp;E207+D207/1440)/1440))</f>
        <v/>
      </c>
      <c r="F208" s="19"/>
      <c r="G208" s="19"/>
      <c r="H208" s="19"/>
      <c r="I208" s="19"/>
      <c r="J208" s="19"/>
      <c r="K208" s="19"/>
      <c r="L208" s="19"/>
      <c r="M208" s="19"/>
      <c r="N208" s="19"/>
      <c r="O208" s="18" t="str">
        <f aca="false">IF(F208="","",IFERROR(INDEX(Parts!$C$6:$C$45,MATCH(F208,Parts!$A$6:$A$45,0)),""))</f>
        <v/>
      </c>
      <c r="P208" s="18" t="str">
        <f aca="false">IF(F208="","",IFERROR(INDEX(Parts!$E$6:$E$45,MATCH(F208,Parts!$A$6:$A$45,0)),""))</f>
        <v/>
      </c>
      <c r="Q208" s="23" t="str">
        <f aca="false">IF(OR(J208="",P208="",P208=0),"",J208/P208+IF(OR(N208="",K208=""),0,IFERROR(N208/INDEX(Parts!$E$6:$E$45,MATCH(K208,Parts!$A$6:$A$45,0)),0)))</f>
        <v/>
      </c>
      <c r="R208" s="24" t="str">
        <f aca="false">IF(B208="","",IF(J208="",0,J208*IFERROR(INDEX(Parts!$F$6:$F$45,MATCH(F208,Parts!$A$6:$A$45,0)),0))+IF(N208="",0,N208*IFERROR(INDEX(Parts!$F$6:$F$45,MATCH(K208,Parts!$A$6:$A$45,0)),0)))</f>
        <v/>
      </c>
      <c r="S208" s="19"/>
      <c r="T208" s="19"/>
      <c r="U208" s="18" t="str">
        <f aca="false">IF(B208="","",IF(F208="",Settings!$B$9,IFERROR(INDEX(Parts!$H$6:$H$45,MATCH(F208,Parts!$A$6:$A$45,0))+0,Settings!$B$9)))</f>
        <v/>
      </c>
      <c r="V208" s="22" t="str">
        <f aca="false">IF(B208="","",IF(INDEX($E$7:$E$336,ROW()-6+Settings!$B$7)&lt;&gt;"",INDEX($E$7:$E$336,ROW()-6+Settings!$B$7),E208+Settings!$B$7*D208/1440))</f>
        <v/>
      </c>
      <c r="W208" s="22" t="str">
        <f aca="false">IF(B208="","",IF(INDEX($E$7:$E$336,ROW()-6+Settings!$B$7+Settings!$B$8)&lt;&gt;"",INDEX($E$7:$E$336,ROW()-6+Settings!$B$7+Settings!$B$8),E208+(Settings!$B$7+Settings!$B$8)*D208/1440)+U208/1440)</f>
        <v/>
      </c>
      <c r="X208" s="18" t="str">
        <f aca="false">IF(B208="","",IF(INDEX($E$7:$E$336,ROW()-6+Settings!$B$7+Settings!$B$8)&lt;&gt;"","line","estimate"))</f>
        <v/>
      </c>
      <c r="Y208" s="25" t="str">
        <f aca="false">IF(B208="","",INT(W208-Settings!$B$6))</f>
        <v/>
      </c>
      <c r="Z208" s="19"/>
      <c r="AA208" s="18" t="str">
        <f aca="false">IF(B208="","",IF(AND(B208&lt;&gt;"Empty",F208=""),"part missing; ","")&amp;IF(AND(F208&lt;&gt;"",J208=""),"pieces missing; ","")&amp;IF(AND(F208&lt;&gt;"",O208=""),"part not on the Parts sheet; ","")&amp;IF(AND(B208="Empty",OR(F208&lt;&gt;"",K208&lt;&gt;"")),"empty tray with parts; ","")&amp;IF(AND(B208="Loaded",K208&lt;&gt;""),"second part: type Mixed; ","")&amp;IF(AND(Q208&lt;&gt;"",N(Q208)&gt;1),"over 100 % of the spec load; ","")&amp;IF(N(R208)&gt;Settings!$B$10,"over the tray maximum (kg); ","")&amp;IF(AND(K208&lt;&gt;"",IFERROR(INDEX(Parts!$C$6:$C$45,MATCH(K208,Parts!$A$6:$A$45,0)),O208)&lt;&gt;O208),"different processes in one tray; ","")&amp;IF(AND(S208&lt;&gt;"",T208=""),"rework reason missing; ",""))</f>
        <v/>
      </c>
    </row>
    <row r="209" customFormat="false" ht="15" hidden="false" customHeight="false" outlineLevel="0" collapsed="false">
      <c r="A209" s="18" t="str">
        <f aca="false">IF(B209="","",COUNTA(B$7:B209))</f>
        <v/>
      </c>
      <c r="B209" s="19"/>
      <c r="C209" s="20"/>
      <c r="D209" s="19" t="str">
        <f aca="false">IF(B209="","",IF(D208="",Report!$B$12,D208))</f>
        <v/>
      </c>
      <c r="E209" s="22" t="str">
        <f aca="false">IF(B209="","",IF(C209&lt;&gt;"",C209,E208+D208/1440+SUMIFS(Holds!$F$7:$F$46,Holds!$B$7:$B$46,"&gt;="&amp;E208,Holds!$B$7:$B$46,"&lt;"&amp;E208+D208/1440)/1440))</f>
        <v/>
      </c>
      <c r="F209" s="19"/>
      <c r="G209" s="19"/>
      <c r="H209" s="19"/>
      <c r="I209" s="19"/>
      <c r="J209" s="19"/>
      <c r="K209" s="19"/>
      <c r="L209" s="19"/>
      <c r="M209" s="19"/>
      <c r="N209" s="19"/>
      <c r="O209" s="18" t="str">
        <f aca="false">IF(F209="","",IFERROR(INDEX(Parts!$C$6:$C$45,MATCH(F209,Parts!$A$6:$A$45,0)),""))</f>
        <v/>
      </c>
      <c r="P209" s="18" t="str">
        <f aca="false">IF(F209="","",IFERROR(INDEX(Parts!$E$6:$E$45,MATCH(F209,Parts!$A$6:$A$45,0)),""))</f>
        <v/>
      </c>
      <c r="Q209" s="23" t="str">
        <f aca="false">IF(OR(J209="",P209="",P209=0),"",J209/P209+IF(OR(N209="",K209=""),0,IFERROR(N209/INDEX(Parts!$E$6:$E$45,MATCH(K209,Parts!$A$6:$A$45,0)),0)))</f>
        <v/>
      </c>
      <c r="R209" s="24" t="str">
        <f aca="false">IF(B209="","",IF(J209="",0,J209*IFERROR(INDEX(Parts!$F$6:$F$45,MATCH(F209,Parts!$A$6:$A$45,0)),0))+IF(N209="",0,N209*IFERROR(INDEX(Parts!$F$6:$F$45,MATCH(K209,Parts!$A$6:$A$45,0)),0)))</f>
        <v/>
      </c>
      <c r="S209" s="19"/>
      <c r="T209" s="19"/>
      <c r="U209" s="18" t="str">
        <f aca="false">IF(B209="","",IF(F209="",Settings!$B$9,IFERROR(INDEX(Parts!$H$6:$H$45,MATCH(F209,Parts!$A$6:$A$45,0))+0,Settings!$B$9)))</f>
        <v/>
      </c>
      <c r="V209" s="22" t="str">
        <f aca="false">IF(B209="","",IF(INDEX($E$7:$E$336,ROW()-6+Settings!$B$7)&lt;&gt;"",INDEX($E$7:$E$336,ROW()-6+Settings!$B$7),E209+Settings!$B$7*D209/1440))</f>
        <v/>
      </c>
      <c r="W209" s="22" t="str">
        <f aca="false">IF(B209="","",IF(INDEX($E$7:$E$336,ROW()-6+Settings!$B$7+Settings!$B$8)&lt;&gt;"",INDEX($E$7:$E$336,ROW()-6+Settings!$B$7+Settings!$B$8),E209+(Settings!$B$7+Settings!$B$8)*D209/1440)+U209/1440)</f>
        <v/>
      </c>
      <c r="X209" s="18" t="str">
        <f aca="false">IF(B209="","",IF(INDEX($E$7:$E$336,ROW()-6+Settings!$B$7+Settings!$B$8)&lt;&gt;"","line","estimate"))</f>
        <v/>
      </c>
      <c r="Y209" s="25" t="str">
        <f aca="false">IF(B209="","",INT(W209-Settings!$B$6))</f>
        <v/>
      </c>
      <c r="Z209" s="19"/>
      <c r="AA209" s="18" t="str">
        <f aca="false">IF(B209="","",IF(AND(B209&lt;&gt;"Empty",F209=""),"part missing; ","")&amp;IF(AND(F209&lt;&gt;"",J209=""),"pieces missing; ","")&amp;IF(AND(F209&lt;&gt;"",O209=""),"part not on the Parts sheet; ","")&amp;IF(AND(B209="Empty",OR(F209&lt;&gt;"",K209&lt;&gt;"")),"empty tray with parts; ","")&amp;IF(AND(B209="Loaded",K209&lt;&gt;""),"second part: type Mixed; ","")&amp;IF(AND(Q209&lt;&gt;"",N(Q209)&gt;1),"over 100 % of the spec load; ","")&amp;IF(N(R209)&gt;Settings!$B$10,"over the tray maximum (kg); ","")&amp;IF(AND(K209&lt;&gt;"",IFERROR(INDEX(Parts!$C$6:$C$45,MATCH(K209,Parts!$A$6:$A$45,0)),O209)&lt;&gt;O209),"different processes in one tray; ","")&amp;IF(AND(S209&lt;&gt;"",T209=""),"rework reason missing; ",""))</f>
        <v/>
      </c>
    </row>
    <row r="210" customFormat="false" ht="15" hidden="false" customHeight="false" outlineLevel="0" collapsed="false">
      <c r="A210" s="18" t="str">
        <f aca="false">IF(B210="","",COUNTA(B$7:B210))</f>
        <v/>
      </c>
      <c r="B210" s="19"/>
      <c r="C210" s="20"/>
      <c r="D210" s="19" t="str">
        <f aca="false">IF(B210="","",IF(D209="",Report!$B$12,D209))</f>
        <v/>
      </c>
      <c r="E210" s="22" t="str">
        <f aca="false">IF(B210="","",IF(C210&lt;&gt;"",C210,E209+D209/1440+SUMIFS(Holds!$F$7:$F$46,Holds!$B$7:$B$46,"&gt;="&amp;E209,Holds!$B$7:$B$46,"&lt;"&amp;E209+D209/1440)/1440))</f>
        <v/>
      </c>
      <c r="F210" s="19"/>
      <c r="G210" s="19"/>
      <c r="H210" s="19"/>
      <c r="I210" s="19"/>
      <c r="J210" s="19"/>
      <c r="K210" s="19"/>
      <c r="L210" s="19"/>
      <c r="M210" s="19"/>
      <c r="N210" s="19"/>
      <c r="O210" s="18" t="str">
        <f aca="false">IF(F210="","",IFERROR(INDEX(Parts!$C$6:$C$45,MATCH(F210,Parts!$A$6:$A$45,0)),""))</f>
        <v/>
      </c>
      <c r="P210" s="18" t="str">
        <f aca="false">IF(F210="","",IFERROR(INDEX(Parts!$E$6:$E$45,MATCH(F210,Parts!$A$6:$A$45,0)),""))</f>
        <v/>
      </c>
      <c r="Q210" s="23" t="str">
        <f aca="false">IF(OR(J210="",P210="",P210=0),"",J210/P210+IF(OR(N210="",K210=""),0,IFERROR(N210/INDEX(Parts!$E$6:$E$45,MATCH(K210,Parts!$A$6:$A$45,0)),0)))</f>
        <v/>
      </c>
      <c r="R210" s="24" t="str">
        <f aca="false">IF(B210="","",IF(J210="",0,J210*IFERROR(INDEX(Parts!$F$6:$F$45,MATCH(F210,Parts!$A$6:$A$45,0)),0))+IF(N210="",0,N210*IFERROR(INDEX(Parts!$F$6:$F$45,MATCH(K210,Parts!$A$6:$A$45,0)),0)))</f>
        <v/>
      </c>
      <c r="S210" s="19"/>
      <c r="T210" s="19"/>
      <c r="U210" s="18" t="str">
        <f aca="false">IF(B210="","",IF(F210="",Settings!$B$9,IFERROR(INDEX(Parts!$H$6:$H$45,MATCH(F210,Parts!$A$6:$A$45,0))+0,Settings!$B$9)))</f>
        <v/>
      </c>
      <c r="V210" s="22" t="str">
        <f aca="false">IF(B210="","",IF(INDEX($E$7:$E$336,ROW()-6+Settings!$B$7)&lt;&gt;"",INDEX($E$7:$E$336,ROW()-6+Settings!$B$7),E210+Settings!$B$7*D210/1440))</f>
        <v/>
      </c>
      <c r="W210" s="22" t="str">
        <f aca="false">IF(B210="","",IF(INDEX($E$7:$E$336,ROW()-6+Settings!$B$7+Settings!$B$8)&lt;&gt;"",INDEX($E$7:$E$336,ROW()-6+Settings!$B$7+Settings!$B$8),E210+(Settings!$B$7+Settings!$B$8)*D210/1440)+U210/1440)</f>
        <v/>
      </c>
      <c r="X210" s="18" t="str">
        <f aca="false">IF(B210="","",IF(INDEX($E$7:$E$336,ROW()-6+Settings!$B$7+Settings!$B$8)&lt;&gt;"","line","estimate"))</f>
        <v/>
      </c>
      <c r="Y210" s="25" t="str">
        <f aca="false">IF(B210="","",INT(W210-Settings!$B$6))</f>
        <v/>
      </c>
      <c r="Z210" s="19"/>
      <c r="AA210" s="18" t="str">
        <f aca="false">IF(B210="","",IF(AND(B210&lt;&gt;"Empty",F210=""),"part missing; ","")&amp;IF(AND(F210&lt;&gt;"",J210=""),"pieces missing; ","")&amp;IF(AND(F210&lt;&gt;"",O210=""),"part not on the Parts sheet; ","")&amp;IF(AND(B210="Empty",OR(F210&lt;&gt;"",K210&lt;&gt;"")),"empty tray with parts; ","")&amp;IF(AND(B210="Loaded",K210&lt;&gt;""),"second part: type Mixed; ","")&amp;IF(AND(Q210&lt;&gt;"",N(Q210)&gt;1),"over 100 % of the spec load; ","")&amp;IF(N(R210)&gt;Settings!$B$10,"over the tray maximum (kg); ","")&amp;IF(AND(K210&lt;&gt;"",IFERROR(INDEX(Parts!$C$6:$C$45,MATCH(K210,Parts!$A$6:$A$45,0)),O210)&lt;&gt;O210),"different processes in one tray; ","")&amp;IF(AND(S210&lt;&gt;"",T210=""),"rework reason missing; ",""))</f>
        <v/>
      </c>
    </row>
    <row r="211" customFormat="false" ht="15" hidden="false" customHeight="false" outlineLevel="0" collapsed="false">
      <c r="A211" s="18" t="str">
        <f aca="false">IF(B211="","",COUNTA(B$7:B211))</f>
        <v/>
      </c>
      <c r="B211" s="19"/>
      <c r="C211" s="20"/>
      <c r="D211" s="19" t="str">
        <f aca="false">IF(B211="","",IF(D210="",Report!$B$12,D210))</f>
        <v/>
      </c>
      <c r="E211" s="22" t="str">
        <f aca="false">IF(B211="","",IF(C211&lt;&gt;"",C211,E210+D210/1440+SUMIFS(Holds!$F$7:$F$46,Holds!$B$7:$B$46,"&gt;="&amp;E210,Holds!$B$7:$B$46,"&lt;"&amp;E210+D210/1440)/1440))</f>
        <v/>
      </c>
      <c r="F211" s="19"/>
      <c r="G211" s="19"/>
      <c r="H211" s="19"/>
      <c r="I211" s="19"/>
      <c r="J211" s="19"/>
      <c r="K211" s="19"/>
      <c r="L211" s="19"/>
      <c r="M211" s="19"/>
      <c r="N211" s="19"/>
      <c r="O211" s="18" t="str">
        <f aca="false">IF(F211="","",IFERROR(INDEX(Parts!$C$6:$C$45,MATCH(F211,Parts!$A$6:$A$45,0)),""))</f>
        <v/>
      </c>
      <c r="P211" s="18" t="str">
        <f aca="false">IF(F211="","",IFERROR(INDEX(Parts!$E$6:$E$45,MATCH(F211,Parts!$A$6:$A$45,0)),""))</f>
        <v/>
      </c>
      <c r="Q211" s="23" t="str">
        <f aca="false">IF(OR(J211="",P211="",P211=0),"",J211/P211+IF(OR(N211="",K211=""),0,IFERROR(N211/INDEX(Parts!$E$6:$E$45,MATCH(K211,Parts!$A$6:$A$45,0)),0)))</f>
        <v/>
      </c>
      <c r="R211" s="24" t="str">
        <f aca="false">IF(B211="","",IF(J211="",0,J211*IFERROR(INDEX(Parts!$F$6:$F$45,MATCH(F211,Parts!$A$6:$A$45,0)),0))+IF(N211="",0,N211*IFERROR(INDEX(Parts!$F$6:$F$45,MATCH(K211,Parts!$A$6:$A$45,0)),0)))</f>
        <v/>
      </c>
      <c r="S211" s="19"/>
      <c r="T211" s="19"/>
      <c r="U211" s="18" t="str">
        <f aca="false">IF(B211="","",IF(F211="",Settings!$B$9,IFERROR(INDEX(Parts!$H$6:$H$45,MATCH(F211,Parts!$A$6:$A$45,0))+0,Settings!$B$9)))</f>
        <v/>
      </c>
      <c r="V211" s="22" t="str">
        <f aca="false">IF(B211="","",IF(INDEX($E$7:$E$336,ROW()-6+Settings!$B$7)&lt;&gt;"",INDEX($E$7:$E$336,ROW()-6+Settings!$B$7),E211+Settings!$B$7*D211/1440))</f>
        <v/>
      </c>
      <c r="W211" s="22" t="str">
        <f aca="false">IF(B211="","",IF(INDEX($E$7:$E$336,ROW()-6+Settings!$B$7+Settings!$B$8)&lt;&gt;"",INDEX($E$7:$E$336,ROW()-6+Settings!$B$7+Settings!$B$8),E211+(Settings!$B$7+Settings!$B$8)*D211/1440)+U211/1440)</f>
        <v/>
      </c>
      <c r="X211" s="18" t="str">
        <f aca="false">IF(B211="","",IF(INDEX($E$7:$E$336,ROW()-6+Settings!$B$7+Settings!$B$8)&lt;&gt;"","line","estimate"))</f>
        <v/>
      </c>
      <c r="Y211" s="25" t="str">
        <f aca="false">IF(B211="","",INT(W211-Settings!$B$6))</f>
        <v/>
      </c>
      <c r="Z211" s="19"/>
      <c r="AA211" s="18" t="str">
        <f aca="false">IF(B211="","",IF(AND(B211&lt;&gt;"Empty",F211=""),"part missing; ","")&amp;IF(AND(F211&lt;&gt;"",J211=""),"pieces missing; ","")&amp;IF(AND(F211&lt;&gt;"",O211=""),"part not on the Parts sheet; ","")&amp;IF(AND(B211="Empty",OR(F211&lt;&gt;"",K211&lt;&gt;"")),"empty tray with parts; ","")&amp;IF(AND(B211="Loaded",K211&lt;&gt;""),"second part: type Mixed; ","")&amp;IF(AND(Q211&lt;&gt;"",N(Q211)&gt;1),"over 100 % of the spec load; ","")&amp;IF(N(R211)&gt;Settings!$B$10,"over the tray maximum (kg); ","")&amp;IF(AND(K211&lt;&gt;"",IFERROR(INDEX(Parts!$C$6:$C$45,MATCH(K211,Parts!$A$6:$A$45,0)),O211)&lt;&gt;O211),"different processes in one tray; ","")&amp;IF(AND(S211&lt;&gt;"",T211=""),"rework reason missing; ",""))</f>
        <v/>
      </c>
    </row>
    <row r="212" customFormat="false" ht="15" hidden="false" customHeight="false" outlineLevel="0" collapsed="false">
      <c r="A212" s="18" t="str">
        <f aca="false">IF(B212="","",COUNTA(B$7:B212))</f>
        <v/>
      </c>
      <c r="B212" s="19"/>
      <c r="C212" s="20"/>
      <c r="D212" s="19" t="str">
        <f aca="false">IF(B212="","",IF(D211="",Report!$B$12,D211))</f>
        <v/>
      </c>
      <c r="E212" s="22" t="str">
        <f aca="false">IF(B212="","",IF(C212&lt;&gt;"",C212,E211+D211/1440+SUMIFS(Holds!$F$7:$F$46,Holds!$B$7:$B$46,"&gt;="&amp;E211,Holds!$B$7:$B$46,"&lt;"&amp;E211+D211/1440)/1440))</f>
        <v/>
      </c>
      <c r="F212" s="19"/>
      <c r="G212" s="19"/>
      <c r="H212" s="19"/>
      <c r="I212" s="19"/>
      <c r="J212" s="19"/>
      <c r="K212" s="19"/>
      <c r="L212" s="19"/>
      <c r="M212" s="19"/>
      <c r="N212" s="19"/>
      <c r="O212" s="18" t="str">
        <f aca="false">IF(F212="","",IFERROR(INDEX(Parts!$C$6:$C$45,MATCH(F212,Parts!$A$6:$A$45,0)),""))</f>
        <v/>
      </c>
      <c r="P212" s="18" t="str">
        <f aca="false">IF(F212="","",IFERROR(INDEX(Parts!$E$6:$E$45,MATCH(F212,Parts!$A$6:$A$45,0)),""))</f>
        <v/>
      </c>
      <c r="Q212" s="23" t="str">
        <f aca="false">IF(OR(J212="",P212="",P212=0),"",J212/P212+IF(OR(N212="",K212=""),0,IFERROR(N212/INDEX(Parts!$E$6:$E$45,MATCH(K212,Parts!$A$6:$A$45,0)),0)))</f>
        <v/>
      </c>
      <c r="R212" s="24" t="str">
        <f aca="false">IF(B212="","",IF(J212="",0,J212*IFERROR(INDEX(Parts!$F$6:$F$45,MATCH(F212,Parts!$A$6:$A$45,0)),0))+IF(N212="",0,N212*IFERROR(INDEX(Parts!$F$6:$F$45,MATCH(K212,Parts!$A$6:$A$45,0)),0)))</f>
        <v/>
      </c>
      <c r="S212" s="19"/>
      <c r="T212" s="19"/>
      <c r="U212" s="18" t="str">
        <f aca="false">IF(B212="","",IF(F212="",Settings!$B$9,IFERROR(INDEX(Parts!$H$6:$H$45,MATCH(F212,Parts!$A$6:$A$45,0))+0,Settings!$B$9)))</f>
        <v/>
      </c>
      <c r="V212" s="22" t="str">
        <f aca="false">IF(B212="","",IF(INDEX($E$7:$E$336,ROW()-6+Settings!$B$7)&lt;&gt;"",INDEX($E$7:$E$336,ROW()-6+Settings!$B$7),E212+Settings!$B$7*D212/1440))</f>
        <v/>
      </c>
      <c r="W212" s="22" t="str">
        <f aca="false">IF(B212="","",IF(INDEX($E$7:$E$336,ROW()-6+Settings!$B$7+Settings!$B$8)&lt;&gt;"",INDEX($E$7:$E$336,ROW()-6+Settings!$B$7+Settings!$B$8),E212+(Settings!$B$7+Settings!$B$8)*D212/1440)+U212/1440)</f>
        <v/>
      </c>
      <c r="X212" s="18" t="str">
        <f aca="false">IF(B212="","",IF(INDEX($E$7:$E$336,ROW()-6+Settings!$B$7+Settings!$B$8)&lt;&gt;"","line","estimate"))</f>
        <v/>
      </c>
      <c r="Y212" s="25" t="str">
        <f aca="false">IF(B212="","",INT(W212-Settings!$B$6))</f>
        <v/>
      </c>
      <c r="Z212" s="19"/>
      <c r="AA212" s="18" t="str">
        <f aca="false">IF(B212="","",IF(AND(B212&lt;&gt;"Empty",F212=""),"part missing; ","")&amp;IF(AND(F212&lt;&gt;"",J212=""),"pieces missing; ","")&amp;IF(AND(F212&lt;&gt;"",O212=""),"part not on the Parts sheet; ","")&amp;IF(AND(B212="Empty",OR(F212&lt;&gt;"",K212&lt;&gt;"")),"empty tray with parts; ","")&amp;IF(AND(B212="Loaded",K212&lt;&gt;""),"second part: type Mixed; ","")&amp;IF(AND(Q212&lt;&gt;"",N(Q212)&gt;1),"over 100 % of the spec load; ","")&amp;IF(N(R212)&gt;Settings!$B$10,"over the tray maximum (kg); ","")&amp;IF(AND(K212&lt;&gt;"",IFERROR(INDEX(Parts!$C$6:$C$45,MATCH(K212,Parts!$A$6:$A$45,0)),O212)&lt;&gt;O212),"different processes in one tray; ","")&amp;IF(AND(S212&lt;&gt;"",T212=""),"rework reason missing; ",""))</f>
        <v/>
      </c>
    </row>
    <row r="213" customFormat="false" ht="15" hidden="false" customHeight="false" outlineLevel="0" collapsed="false">
      <c r="A213" s="18" t="str">
        <f aca="false">IF(B213="","",COUNTA(B$7:B213))</f>
        <v/>
      </c>
      <c r="B213" s="19"/>
      <c r="C213" s="20"/>
      <c r="D213" s="19" t="str">
        <f aca="false">IF(B213="","",IF(D212="",Report!$B$12,D212))</f>
        <v/>
      </c>
      <c r="E213" s="22" t="str">
        <f aca="false">IF(B213="","",IF(C213&lt;&gt;"",C213,E212+D212/1440+SUMIFS(Holds!$F$7:$F$46,Holds!$B$7:$B$46,"&gt;="&amp;E212,Holds!$B$7:$B$46,"&lt;"&amp;E212+D212/1440)/1440))</f>
        <v/>
      </c>
      <c r="F213" s="19"/>
      <c r="G213" s="19"/>
      <c r="H213" s="19"/>
      <c r="I213" s="19"/>
      <c r="J213" s="19"/>
      <c r="K213" s="19"/>
      <c r="L213" s="19"/>
      <c r="M213" s="19"/>
      <c r="N213" s="19"/>
      <c r="O213" s="18" t="str">
        <f aca="false">IF(F213="","",IFERROR(INDEX(Parts!$C$6:$C$45,MATCH(F213,Parts!$A$6:$A$45,0)),""))</f>
        <v/>
      </c>
      <c r="P213" s="18" t="str">
        <f aca="false">IF(F213="","",IFERROR(INDEX(Parts!$E$6:$E$45,MATCH(F213,Parts!$A$6:$A$45,0)),""))</f>
        <v/>
      </c>
      <c r="Q213" s="23" t="str">
        <f aca="false">IF(OR(J213="",P213="",P213=0),"",J213/P213+IF(OR(N213="",K213=""),0,IFERROR(N213/INDEX(Parts!$E$6:$E$45,MATCH(K213,Parts!$A$6:$A$45,0)),0)))</f>
        <v/>
      </c>
      <c r="R213" s="24" t="str">
        <f aca="false">IF(B213="","",IF(J213="",0,J213*IFERROR(INDEX(Parts!$F$6:$F$45,MATCH(F213,Parts!$A$6:$A$45,0)),0))+IF(N213="",0,N213*IFERROR(INDEX(Parts!$F$6:$F$45,MATCH(K213,Parts!$A$6:$A$45,0)),0)))</f>
        <v/>
      </c>
      <c r="S213" s="19"/>
      <c r="T213" s="19"/>
      <c r="U213" s="18" t="str">
        <f aca="false">IF(B213="","",IF(F213="",Settings!$B$9,IFERROR(INDEX(Parts!$H$6:$H$45,MATCH(F213,Parts!$A$6:$A$45,0))+0,Settings!$B$9)))</f>
        <v/>
      </c>
      <c r="V213" s="22" t="str">
        <f aca="false">IF(B213="","",IF(INDEX($E$7:$E$336,ROW()-6+Settings!$B$7)&lt;&gt;"",INDEX($E$7:$E$336,ROW()-6+Settings!$B$7),E213+Settings!$B$7*D213/1440))</f>
        <v/>
      </c>
      <c r="W213" s="22" t="str">
        <f aca="false">IF(B213="","",IF(INDEX($E$7:$E$336,ROW()-6+Settings!$B$7+Settings!$B$8)&lt;&gt;"",INDEX($E$7:$E$336,ROW()-6+Settings!$B$7+Settings!$B$8),E213+(Settings!$B$7+Settings!$B$8)*D213/1440)+U213/1440)</f>
        <v/>
      </c>
      <c r="X213" s="18" t="str">
        <f aca="false">IF(B213="","",IF(INDEX($E$7:$E$336,ROW()-6+Settings!$B$7+Settings!$B$8)&lt;&gt;"","line","estimate"))</f>
        <v/>
      </c>
      <c r="Y213" s="25" t="str">
        <f aca="false">IF(B213="","",INT(W213-Settings!$B$6))</f>
        <v/>
      </c>
      <c r="Z213" s="19"/>
      <c r="AA213" s="18" t="str">
        <f aca="false">IF(B213="","",IF(AND(B213&lt;&gt;"Empty",F213=""),"part missing; ","")&amp;IF(AND(F213&lt;&gt;"",J213=""),"pieces missing; ","")&amp;IF(AND(F213&lt;&gt;"",O213=""),"part not on the Parts sheet; ","")&amp;IF(AND(B213="Empty",OR(F213&lt;&gt;"",K213&lt;&gt;"")),"empty tray with parts; ","")&amp;IF(AND(B213="Loaded",K213&lt;&gt;""),"second part: type Mixed; ","")&amp;IF(AND(Q213&lt;&gt;"",N(Q213)&gt;1),"over 100 % of the spec load; ","")&amp;IF(N(R213)&gt;Settings!$B$10,"over the tray maximum (kg); ","")&amp;IF(AND(K213&lt;&gt;"",IFERROR(INDEX(Parts!$C$6:$C$45,MATCH(K213,Parts!$A$6:$A$45,0)),O213)&lt;&gt;O213),"different processes in one tray; ","")&amp;IF(AND(S213&lt;&gt;"",T213=""),"rework reason missing; ",""))</f>
        <v/>
      </c>
    </row>
    <row r="214" customFormat="false" ht="15" hidden="false" customHeight="false" outlineLevel="0" collapsed="false">
      <c r="A214" s="18" t="str">
        <f aca="false">IF(B214="","",COUNTA(B$7:B214))</f>
        <v/>
      </c>
      <c r="B214" s="19"/>
      <c r="C214" s="20"/>
      <c r="D214" s="19" t="str">
        <f aca="false">IF(B214="","",IF(D213="",Report!$B$12,D213))</f>
        <v/>
      </c>
      <c r="E214" s="22" t="str">
        <f aca="false">IF(B214="","",IF(C214&lt;&gt;"",C214,E213+D213/1440+SUMIFS(Holds!$F$7:$F$46,Holds!$B$7:$B$46,"&gt;="&amp;E213,Holds!$B$7:$B$46,"&lt;"&amp;E213+D213/1440)/1440))</f>
        <v/>
      </c>
      <c r="F214" s="19"/>
      <c r="G214" s="19"/>
      <c r="H214" s="19"/>
      <c r="I214" s="19"/>
      <c r="J214" s="19"/>
      <c r="K214" s="19"/>
      <c r="L214" s="19"/>
      <c r="M214" s="19"/>
      <c r="N214" s="19"/>
      <c r="O214" s="18" t="str">
        <f aca="false">IF(F214="","",IFERROR(INDEX(Parts!$C$6:$C$45,MATCH(F214,Parts!$A$6:$A$45,0)),""))</f>
        <v/>
      </c>
      <c r="P214" s="18" t="str">
        <f aca="false">IF(F214="","",IFERROR(INDEX(Parts!$E$6:$E$45,MATCH(F214,Parts!$A$6:$A$45,0)),""))</f>
        <v/>
      </c>
      <c r="Q214" s="23" t="str">
        <f aca="false">IF(OR(J214="",P214="",P214=0),"",J214/P214+IF(OR(N214="",K214=""),0,IFERROR(N214/INDEX(Parts!$E$6:$E$45,MATCH(K214,Parts!$A$6:$A$45,0)),0)))</f>
        <v/>
      </c>
      <c r="R214" s="24" t="str">
        <f aca="false">IF(B214="","",IF(J214="",0,J214*IFERROR(INDEX(Parts!$F$6:$F$45,MATCH(F214,Parts!$A$6:$A$45,0)),0))+IF(N214="",0,N214*IFERROR(INDEX(Parts!$F$6:$F$45,MATCH(K214,Parts!$A$6:$A$45,0)),0)))</f>
        <v/>
      </c>
      <c r="S214" s="19"/>
      <c r="T214" s="19"/>
      <c r="U214" s="18" t="str">
        <f aca="false">IF(B214="","",IF(F214="",Settings!$B$9,IFERROR(INDEX(Parts!$H$6:$H$45,MATCH(F214,Parts!$A$6:$A$45,0))+0,Settings!$B$9)))</f>
        <v/>
      </c>
      <c r="V214" s="22" t="str">
        <f aca="false">IF(B214="","",IF(INDEX($E$7:$E$336,ROW()-6+Settings!$B$7)&lt;&gt;"",INDEX($E$7:$E$336,ROW()-6+Settings!$B$7),E214+Settings!$B$7*D214/1440))</f>
        <v/>
      </c>
      <c r="W214" s="22" t="str">
        <f aca="false">IF(B214="","",IF(INDEX($E$7:$E$336,ROW()-6+Settings!$B$7+Settings!$B$8)&lt;&gt;"",INDEX($E$7:$E$336,ROW()-6+Settings!$B$7+Settings!$B$8),E214+(Settings!$B$7+Settings!$B$8)*D214/1440)+U214/1440)</f>
        <v/>
      </c>
      <c r="X214" s="18" t="str">
        <f aca="false">IF(B214="","",IF(INDEX($E$7:$E$336,ROW()-6+Settings!$B$7+Settings!$B$8)&lt;&gt;"","line","estimate"))</f>
        <v/>
      </c>
      <c r="Y214" s="25" t="str">
        <f aca="false">IF(B214="","",INT(W214-Settings!$B$6))</f>
        <v/>
      </c>
      <c r="Z214" s="19"/>
      <c r="AA214" s="18" t="str">
        <f aca="false">IF(B214="","",IF(AND(B214&lt;&gt;"Empty",F214=""),"part missing; ","")&amp;IF(AND(F214&lt;&gt;"",J214=""),"pieces missing; ","")&amp;IF(AND(F214&lt;&gt;"",O214=""),"part not on the Parts sheet; ","")&amp;IF(AND(B214="Empty",OR(F214&lt;&gt;"",K214&lt;&gt;"")),"empty tray with parts; ","")&amp;IF(AND(B214="Loaded",K214&lt;&gt;""),"second part: type Mixed; ","")&amp;IF(AND(Q214&lt;&gt;"",N(Q214)&gt;1),"over 100 % of the spec load; ","")&amp;IF(N(R214)&gt;Settings!$B$10,"over the tray maximum (kg); ","")&amp;IF(AND(K214&lt;&gt;"",IFERROR(INDEX(Parts!$C$6:$C$45,MATCH(K214,Parts!$A$6:$A$45,0)),O214)&lt;&gt;O214),"different processes in one tray; ","")&amp;IF(AND(S214&lt;&gt;"",T214=""),"rework reason missing; ",""))</f>
        <v/>
      </c>
    </row>
    <row r="215" customFormat="false" ht="15" hidden="false" customHeight="false" outlineLevel="0" collapsed="false">
      <c r="A215" s="18" t="str">
        <f aca="false">IF(B215="","",COUNTA(B$7:B215))</f>
        <v/>
      </c>
      <c r="B215" s="19"/>
      <c r="C215" s="20"/>
      <c r="D215" s="19" t="str">
        <f aca="false">IF(B215="","",IF(D214="",Report!$B$12,D214))</f>
        <v/>
      </c>
      <c r="E215" s="22" t="str">
        <f aca="false">IF(B215="","",IF(C215&lt;&gt;"",C215,E214+D214/1440+SUMIFS(Holds!$F$7:$F$46,Holds!$B$7:$B$46,"&gt;="&amp;E214,Holds!$B$7:$B$46,"&lt;"&amp;E214+D214/1440)/1440))</f>
        <v/>
      </c>
      <c r="F215" s="19"/>
      <c r="G215" s="19"/>
      <c r="H215" s="19"/>
      <c r="I215" s="19"/>
      <c r="J215" s="19"/>
      <c r="K215" s="19"/>
      <c r="L215" s="19"/>
      <c r="M215" s="19"/>
      <c r="N215" s="19"/>
      <c r="O215" s="18" t="str">
        <f aca="false">IF(F215="","",IFERROR(INDEX(Parts!$C$6:$C$45,MATCH(F215,Parts!$A$6:$A$45,0)),""))</f>
        <v/>
      </c>
      <c r="P215" s="18" t="str">
        <f aca="false">IF(F215="","",IFERROR(INDEX(Parts!$E$6:$E$45,MATCH(F215,Parts!$A$6:$A$45,0)),""))</f>
        <v/>
      </c>
      <c r="Q215" s="23" t="str">
        <f aca="false">IF(OR(J215="",P215="",P215=0),"",J215/P215+IF(OR(N215="",K215=""),0,IFERROR(N215/INDEX(Parts!$E$6:$E$45,MATCH(K215,Parts!$A$6:$A$45,0)),0)))</f>
        <v/>
      </c>
      <c r="R215" s="24" t="str">
        <f aca="false">IF(B215="","",IF(J215="",0,J215*IFERROR(INDEX(Parts!$F$6:$F$45,MATCH(F215,Parts!$A$6:$A$45,0)),0))+IF(N215="",0,N215*IFERROR(INDEX(Parts!$F$6:$F$45,MATCH(K215,Parts!$A$6:$A$45,0)),0)))</f>
        <v/>
      </c>
      <c r="S215" s="19"/>
      <c r="T215" s="19"/>
      <c r="U215" s="18" t="str">
        <f aca="false">IF(B215="","",IF(F215="",Settings!$B$9,IFERROR(INDEX(Parts!$H$6:$H$45,MATCH(F215,Parts!$A$6:$A$45,0))+0,Settings!$B$9)))</f>
        <v/>
      </c>
      <c r="V215" s="22" t="str">
        <f aca="false">IF(B215="","",IF(INDEX($E$7:$E$336,ROW()-6+Settings!$B$7)&lt;&gt;"",INDEX($E$7:$E$336,ROW()-6+Settings!$B$7),E215+Settings!$B$7*D215/1440))</f>
        <v/>
      </c>
      <c r="W215" s="22" t="str">
        <f aca="false">IF(B215="","",IF(INDEX($E$7:$E$336,ROW()-6+Settings!$B$7+Settings!$B$8)&lt;&gt;"",INDEX($E$7:$E$336,ROW()-6+Settings!$B$7+Settings!$B$8),E215+(Settings!$B$7+Settings!$B$8)*D215/1440)+U215/1440)</f>
        <v/>
      </c>
      <c r="X215" s="18" t="str">
        <f aca="false">IF(B215="","",IF(INDEX($E$7:$E$336,ROW()-6+Settings!$B$7+Settings!$B$8)&lt;&gt;"","line","estimate"))</f>
        <v/>
      </c>
      <c r="Y215" s="25" t="str">
        <f aca="false">IF(B215="","",INT(W215-Settings!$B$6))</f>
        <v/>
      </c>
      <c r="Z215" s="19"/>
      <c r="AA215" s="18" t="str">
        <f aca="false">IF(B215="","",IF(AND(B215&lt;&gt;"Empty",F215=""),"part missing; ","")&amp;IF(AND(F215&lt;&gt;"",J215=""),"pieces missing; ","")&amp;IF(AND(F215&lt;&gt;"",O215=""),"part not on the Parts sheet; ","")&amp;IF(AND(B215="Empty",OR(F215&lt;&gt;"",K215&lt;&gt;"")),"empty tray with parts; ","")&amp;IF(AND(B215="Loaded",K215&lt;&gt;""),"second part: type Mixed; ","")&amp;IF(AND(Q215&lt;&gt;"",N(Q215)&gt;1),"over 100 % of the spec load; ","")&amp;IF(N(R215)&gt;Settings!$B$10,"over the tray maximum (kg); ","")&amp;IF(AND(K215&lt;&gt;"",IFERROR(INDEX(Parts!$C$6:$C$45,MATCH(K215,Parts!$A$6:$A$45,0)),O215)&lt;&gt;O215),"different processes in one tray; ","")&amp;IF(AND(S215&lt;&gt;"",T215=""),"rework reason missing; ",""))</f>
        <v/>
      </c>
    </row>
    <row r="216" customFormat="false" ht="15" hidden="false" customHeight="false" outlineLevel="0" collapsed="false">
      <c r="A216" s="18" t="str">
        <f aca="false">IF(B216="","",COUNTA(B$7:B216))</f>
        <v/>
      </c>
      <c r="B216" s="19"/>
      <c r="C216" s="20"/>
      <c r="D216" s="19" t="str">
        <f aca="false">IF(B216="","",IF(D215="",Report!$B$12,D215))</f>
        <v/>
      </c>
      <c r="E216" s="22" t="str">
        <f aca="false">IF(B216="","",IF(C216&lt;&gt;"",C216,E215+D215/1440+SUMIFS(Holds!$F$7:$F$46,Holds!$B$7:$B$46,"&gt;="&amp;E215,Holds!$B$7:$B$46,"&lt;"&amp;E215+D215/1440)/1440))</f>
        <v/>
      </c>
      <c r="F216" s="19"/>
      <c r="G216" s="19"/>
      <c r="H216" s="19"/>
      <c r="I216" s="19"/>
      <c r="J216" s="19"/>
      <c r="K216" s="19"/>
      <c r="L216" s="19"/>
      <c r="M216" s="19"/>
      <c r="N216" s="19"/>
      <c r="O216" s="18" t="str">
        <f aca="false">IF(F216="","",IFERROR(INDEX(Parts!$C$6:$C$45,MATCH(F216,Parts!$A$6:$A$45,0)),""))</f>
        <v/>
      </c>
      <c r="P216" s="18" t="str">
        <f aca="false">IF(F216="","",IFERROR(INDEX(Parts!$E$6:$E$45,MATCH(F216,Parts!$A$6:$A$45,0)),""))</f>
        <v/>
      </c>
      <c r="Q216" s="23" t="str">
        <f aca="false">IF(OR(J216="",P216="",P216=0),"",J216/P216+IF(OR(N216="",K216=""),0,IFERROR(N216/INDEX(Parts!$E$6:$E$45,MATCH(K216,Parts!$A$6:$A$45,0)),0)))</f>
        <v/>
      </c>
      <c r="R216" s="24" t="str">
        <f aca="false">IF(B216="","",IF(J216="",0,J216*IFERROR(INDEX(Parts!$F$6:$F$45,MATCH(F216,Parts!$A$6:$A$45,0)),0))+IF(N216="",0,N216*IFERROR(INDEX(Parts!$F$6:$F$45,MATCH(K216,Parts!$A$6:$A$45,0)),0)))</f>
        <v/>
      </c>
      <c r="S216" s="19"/>
      <c r="T216" s="19"/>
      <c r="U216" s="18" t="str">
        <f aca="false">IF(B216="","",IF(F216="",Settings!$B$9,IFERROR(INDEX(Parts!$H$6:$H$45,MATCH(F216,Parts!$A$6:$A$45,0))+0,Settings!$B$9)))</f>
        <v/>
      </c>
      <c r="V216" s="22" t="str">
        <f aca="false">IF(B216="","",IF(INDEX($E$7:$E$336,ROW()-6+Settings!$B$7)&lt;&gt;"",INDEX($E$7:$E$336,ROW()-6+Settings!$B$7),E216+Settings!$B$7*D216/1440))</f>
        <v/>
      </c>
      <c r="W216" s="22" t="str">
        <f aca="false">IF(B216="","",IF(INDEX($E$7:$E$336,ROW()-6+Settings!$B$7+Settings!$B$8)&lt;&gt;"",INDEX($E$7:$E$336,ROW()-6+Settings!$B$7+Settings!$B$8),E216+(Settings!$B$7+Settings!$B$8)*D216/1440)+U216/1440)</f>
        <v/>
      </c>
      <c r="X216" s="18" t="str">
        <f aca="false">IF(B216="","",IF(INDEX($E$7:$E$336,ROW()-6+Settings!$B$7+Settings!$B$8)&lt;&gt;"","line","estimate"))</f>
        <v/>
      </c>
      <c r="Y216" s="25" t="str">
        <f aca="false">IF(B216="","",INT(W216-Settings!$B$6))</f>
        <v/>
      </c>
      <c r="Z216" s="19"/>
      <c r="AA216" s="18" t="str">
        <f aca="false">IF(B216="","",IF(AND(B216&lt;&gt;"Empty",F216=""),"part missing; ","")&amp;IF(AND(F216&lt;&gt;"",J216=""),"pieces missing; ","")&amp;IF(AND(F216&lt;&gt;"",O216=""),"part not on the Parts sheet; ","")&amp;IF(AND(B216="Empty",OR(F216&lt;&gt;"",K216&lt;&gt;"")),"empty tray with parts; ","")&amp;IF(AND(B216="Loaded",K216&lt;&gt;""),"second part: type Mixed; ","")&amp;IF(AND(Q216&lt;&gt;"",N(Q216)&gt;1),"over 100 % of the spec load; ","")&amp;IF(N(R216)&gt;Settings!$B$10,"over the tray maximum (kg); ","")&amp;IF(AND(K216&lt;&gt;"",IFERROR(INDEX(Parts!$C$6:$C$45,MATCH(K216,Parts!$A$6:$A$45,0)),O216)&lt;&gt;O216),"different processes in one tray; ","")&amp;IF(AND(S216&lt;&gt;"",T216=""),"rework reason missing; ",""))</f>
        <v/>
      </c>
    </row>
    <row r="217" customFormat="false" ht="15" hidden="false" customHeight="false" outlineLevel="0" collapsed="false">
      <c r="A217" s="18" t="str">
        <f aca="false">IF(B217="","",COUNTA(B$7:B217))</f>
        <v/>
      </c>
      <c r="B217" s="19"/>
      <c r="C217" s="20"/>
      <c r="D217" s="19" t="str">
        <f aca="false">IF(B217="","",IF(D216="",Report!$B$12,D216))</f>
        <v/>
      </c>
      <c r="E217" s="22" t="str">
        <f aca="false">IF(B217="","",IF(C217&lt;&gt;"",C217,E216+D216/1440+SUMIFS(Holds!$F$7:$F$46,Holds!$B$7:$B$46,"&gt;="&amp;E216,Holds!$B$7:$B$46,"&lt;"&amp;E216+D216/1440)/1440))</f>
        <v/>
      </c>
      <c r="F217" s="19"/>
      <c r="G217" s="19"/>
      <c r="H217" s="19"/>
      <c r="I217" s="19"/>
      <c r="J217" s="19"/>
      <c r="K217" s="19"/>
      <c r="L217" s="19"/>
      <c r="M217" s="19"/>
      <c r="N217" s="19"/>
      <c r="O217" s="18" t="str">
        <f aca="false">IF(F217="","",IFERROR(INDEX(Parts!$C$6:$C$45,MATCH(F217,Parts!$A$6:$A$45,0)),""))</f>
        <v/>
      </c>
      <c r="P217" s="18" t="str">
        <f aca="false">IF(F217="","",IFERROR(INDEX(Parts!$E$6:$E$45,MATCH(F217,Parts!$A$6:$A$45,0)),""))</f>
        <v/>
      </c>
      <c r="Q217" s="23" t="str">
        <f aca="false">IF(OR(J217="",P217="",P217=0),"",J217/P217+IF(OR(N217="",K217=""),0,IFERROR(N217/INDEX(Parts!$E$6:$E$45,MATCH(K217,Parts!$A$6:$A$45,0)),0)))</f>
        <v/>
      </c>
      <c r="R217" s="24" t="str">
        <f aca="false">IF(B217="","",IF(J217="",0,J217*IFERROR(INDEX(Parts!$F$6:$F$45,MATCH(F217,Parts!$A$6:$A$45,0)),0))+IF(N217="",0,N217*IFERROR(INDEX(Parts!$F$6:$F$45,MATCH(K217,Parts!$A$6:$A$45,0)),0)))</f>
        <v/>
      </c>
      <c r="S217" s="19"/>
      <c r="T217" s="19"/>
      <c r="U217" s="18" t="str">
        <f aca="false">IF(B217="","",IF(F217="",Settings!$B$9,IFERROR(INDEX(Parts!$H$6:$H$45,MATCH(F217,Parts!$A$6:$A$45,0))+0,Settings!$B$9)))</f>
        <v/>
      </c>
      <c r="V217" s="22" t="str">
        <f aca="false">IF(B217="","",IF(INDEX($E$7:$E$336,ROW()-6+Settings!$B$7)&lt;&gt;"",INDEX($E$7:$E$336,ROW()-6+Settings!$B$7),E217+Settings!$B$7*D217/1440))</f>
        <v/>
      </c>
      <c r="W217" s="22" t="str">
        <f aca="false">IF(B217="","",IF(INDEX($E$7:$E$336,ROW()-6+Settings!$B$7+Settings!$B$8)&lt;&gt;"",INDEX($E$7:$E$336,ROW()-6+Settings!$B$7+Settings!$B$8),E217+(Settings!$B$7+Settings!$B$8)*D217/1440)+U217/1440)</f>
        <v/>
      </c>
      <c r="X217" s="18" t="str">
        <f aca="false">IF(B217="","",IF(INDEX($E$7:$E$336,ROW()-6+Settings!$B$7+Settings!$B$8)&lt;&gt;"","line","estimate"))</f>
        <v/>
      </c>
      <c r="Y217" s="25" t="str">
        <f aca="false">IF(B217="","",INT(W217-Settings!$B$6))</f>
        <v/>
      </c>
      <c r="Z217" s="19"/>
      <c r="AA217" s="18" t="str">
        <f aca="false">IF(B217="","",IF(AND(B217&lt;&gt;"Empty",F217=""),"part missing; ","")&amp;IF(AND(F217&lt;&gt;"",J217=""),"pieces missing; ","")&amp;IF(AND(F217&lt;&gt;"",O217=""),"part not on the Parts sheet; ","")&amp;IF(AND(B217="Empty",OR(F217&lt;&gt;"",K217&lt;&gt;"")),"empty tray with parts; ","")&amp;IF(AND(B217="Loaded",K217&lt;&gt;""),"second part: type Mixed; ","")&amp;IF(AND(Q217&lt;&gt;"",N(Q217)&gt;1),"over 100 % of the spec load; ","")&amp;IF(N(R217)&gt;Settings!$B$10,"over the tray maximum (kg); ","")&amp;IF(AND(K217&lt;&gt;"",IFERROR(INDEX(Parts!$C$6:$C$45,MATCH(K217,Parts!$A$6:$A$45,0)),O217)&lt;&gt;O217),"different processes in one tray; ","")&amp;IF(AND(S217&lt;&gt;"",T217=""),"rework reason missing; ",""))</f>
        <v/>
      </c>
    </row>
    <row r="218" customFormat="false" ht="15" hidden="false" customHeight="false" outlineLevel="0" collapsed="false">
      <c r="A218" s="18" t="str">
        <f aca="false">IF(B218="","",COUNTA(B$7:B218))</f>
        <v/>
      </c>
      <c r="B218" s="19"/>
      <c r="C218" s="20"/>
      <c r="D218" s="19" t="str">
        <f aca="false">IF(B218="","",IF(D217="",Report!$B$12,D217))</f>
        <v/>
      </c>
      <c r="E218" s="22" t="str">
        <f aca="false">IF(B218="","",IF(C218&lt;&gt;"",C218,E217+D217/1440+SUMIFS(Holds!$F$7:$F$46,Holds!$B$7:$B$46,"&gt;="&amp;E217,Holds!$B$7:$B$46,"&lt;"&amp;E217+D217/1440)/1440))</f>
        <v/>
      </c>
      <c r="F218" s="19"/>
      <c r="G218" s="19"/>
      <c r="H218" s="19"/>
      <c r="I218" s="19"/>
      <c r="J218" s="19"/>
      <c r="K218" s="19"/>
      <c r="L218" s="19"/>
      <c r="M218" s="19"/>
      <c r="N218" s="19"/>
      <c r="O218" s="18" t="str">
        <f aca="false">IF(F218="","",IFERROR(INDEX(Parts!$C$6:$C$45,MATCH(F218,Parts!$A$6:$A$45,0)),""))</f>
        <v/>
      </c>
      <c r="P218" s="18" t="str">
        <f aca="false">IF(F218="","",IFERROR(INDEX(Parts!$E$6:$E$45,MATCH(F218,Parts!$A$6:$A$45,0)),""))</f>
        <v/>
      </c>
      <c r="Q218" s="23" t="str">
        <f aca="false">IF(OR(J218="",P218="",P218=0),"",J218/P218+IF(OR(N218="",K218=""),0,IFERROR(N218/INDEX(Parts!$E$6:$E$45,MATCH(K218,Parts!$A$6:$A$45,0)),0)))</f>
        <v/>
      </c>
      <c r="R218" s="24" t="str">
        <f aca="false">IF(B218="","",IF(J218="",0,J218*IFERROR(INDEX(Parts!$F$6:$F$45,MATCH(F218,Parts!$A$6:$A$45,0)),0))+IF(N218="",0,N218*IFERROR(INDEX(Parts!$F$6:$F$45,MATCH(K218,Parts!$A$6:$A$45,0)),0)))</f>
        <v/>
      </c>
      <c r="S218" s="19"/>
      <c r="T218" s="19"/>
      <c r="U218" s="18" t="str">
        <f aca="false">IF(B218="","",IF(F218="",Settings!$B$9,IFERROR(INDEX(Parts!$H$6:$H$45,MATCH(F218,Parts!$A$6:$A$45,0))+0,Settings!$B$9)))</f>
        <v/>
      </c>
      <c r="V218" s="22" t="str">
        <f aca="false">IF(B218="","",IF(INDEX($E$7:$E$336,ROW()-6+Settings!$B$7)&lt;&gt;"",INDEX($E$7:$E$336,ROW()-6+Settings!$B$7),E218+Settings!$B$7*D218/1440))</f>
        <v/>
      </c>
      <c r="W218" s="22" t="str">
        <f aca="false">IF(B218="","",IF(INDEX($E$7:$E$336,ROW()-6+Settings!$B$7+Settings!$B$8)&lt;&gt;"",INDEX($E$7:$E$336,ROW()-6+Settings!$B$7+Settings!$B$8),E218+(Settings!$B$7+Settings!$B$8)*D218/1440)+U218/1440)</f>
        <v/>
      </c>
      <c r="X218" s="18" t="str">
        <f aca="false">IF(B218="","",IF(INDEX($E$7:$E$336,ROW()-6+Settings!$B$7+Settings!$B$8)&lt;&gt;"","line","estimate"))</f>
        <v/>
      </c>
      <c r="Y218" s="25" t="str">
        <f aca="false">IF(B218="","",INT(W218-Settings!$B$6))</f>
        <v/>
      </c>
      <c r="Z218" s="19"/>
      <c r="AA218" s="18" t="str">
        <f aca="false">IF(B218="","",IF(AND(B218&lt;&gt;"Empty",F218=""),"part missing; ","")&amp;IF(AND(F218&lt;&gt;"",J218=""),"pieces missing; ","")&amp;IF(AND(F218&lt;&gt;"",O218=""),"part not on the Parts sheet; ","")&amp;IF(AND(B218="Empty",OR(F218&lt;&gt;"",K218&lt;&gt;"")),"empty tray with parts; ","")&amp;IF(AND(B218="Loaded",K218&lt;&gt;""),"second part: type Mixed; ","")&amp;IF(AND(Q218&lt;&gt;"",N(Q218)&gt;1),"over 100 % of the spec load; ","")&amp;IF(N(R218)&gt;Settings!$B$10,"over the tray maximum (kg); ","")&amp;IF(AND(K218&lt;&gt;"",IFERROR(INDEX(Parts!$C$6:$C$45,MATCH(K218,Parts!$A$6:$A$45,0)),O218)&lt;&gt;O218),"different processes in one tray; ","")&amp;IF(AND(S218&lt;&gt;"",T218=""),"rework reason missing; ",""))</f>
        <v/>
      </c>
    </row>
    <row r="219" customFormat="false" ht="15" hidden="false" customHeight="false" outlineLevel="0" collapsed="false">
      <c r="A219" s="18" t="str">
        <f aca="false">IF(B219="","",COUNTA(B$7:B219))</f>
        <v/>
      </c>
      <c r="B219" s="19"/>
      <c r="C219" s="20"/>
      <c r="D219" s="19" t="str">
        <f aca="false">IF(B219="","",IF(D218="",Report!$B$12,D218))</f>
        <v/>
      </c>
      <c r="E219" s="22" t="str">
        <f aca="false">IF(B219="","",IF(C219&lt;&gt;"",C219,E218+D218/1440+SUMIFS(Holds!$F$7:$F$46,Holds!$B$7:$B$46,"&gt;="&amp;E218,Holds!$B$7:$B$46,"&lt;"&amp;E218+D218/1440)/1440))</f>
        <v/>
      </c>
      <c r="F219" s="19"/>
      <c r="G219" s="19"/>
      <c r="H219" s="19"/>
      <c r="I219" s="19"/>
      <c r="J219" s="19"/>
      <c r="K219" s="19"/>
      <c r="L219" s="19"/>
      <c r="M219" s="19"/>
      <c r="N219" s="19"/>
      <c r="O219" s="18" t="str">
        <f aca="false">IF(F219="","",IFERROR(INDEX(Parts!$C$6:$C$45,MATCH(F219,Parts!$A$6:$A$45,0)),""))</f>
        <v/>
      </c>
      <c r="P219" s="18" t="str">
        <f aca="false">IF(F219="","",IFERROR(INDEX(Parts!$E$6:$E$45,MATCH(F219,Parts!$A$6:$A$45,0)),""))</f>
        <v/>
      </c>
      <c r="Q219" s="23" t="str">
        <f aca="false">IF(OR(J219="",P219="",P219=0),"",J219/P219+IF(OR(N219="",K219=""),0,IFERROR(N219/INDEX(Parts!$E$6:$E$45,MATCH(K219,Parts!$A$6:$A$45,0)),0)))</f>
        <v/>
      </c>
      <c r="R219" s="24" t="str">
        <f aca="false">IF(B219="","",IF(J219="",0,J219*IFERROR(INDEX(Parts!$F$6:$F$45,MATCH(F219,Parts!$A$6:$A$45,0)),0))+IF(N219="",0,N219*IFERROR(INDEX(Parts!$F$6:$F$45,MATCH(K219,Parts!$A$6:$A$45,0)),0)))</f>
        <v/>
      </c>
      <c r="S219" s="19"/>
      <c r="T219" s="19"/>
      <c r="U219" s="18" t="str">
        <f aca="false">IF(B219="","",IF(F219="",Settings!$B$9,IFERROR(INDEX(Parts!$H$6:$H$45,MATCH(F219,Parts!$A$6:$A$45,0))+0,Settings!$B$9)))</f>
        <v/>
      </c>
      <c r="V219" s="22" t="str">
        <f aca="false">IF(B219="","",IF(INDEX($E$7:$E$336,ROW()-6+Settings!$B$7)&lt;&gt;"",INDEX($E$7:$E$336,ROW()-6+Settings!$B$7),E219+Settings!$B$7*D219/1440))</f>
        <v/>
      </c>
      <c r="W219" s="22" t="str">
        <f aca="false">IF(B219="","",IF(INDEX($E$7:$E$336,ROW()-6+Settings!$B$7+Settings!$B$8)&lt;&gt;"",INDEX($E$7:$E$336,ROW()-6+Settings!$B$7+Settings!$B$8),E219+(Settings!$B$7+Settings!$B$8)*D219/1440)+U219/1440)</f>
        <v/>
      </c>
      <c r="X219" s="18" t="str">
        <f aca="false">IF(B219="","",IF(INDEX($E$7:$E$336,ROW()-6+Settings!$B$7+Settings!$B$8)&lt;&gt;"","line","estimate"))</f>
        <v/>
      </c>
      <c r="Y219" s="25" t="str">
        <f aca="false">IF(B219="","",INT(W219-Settings!$B$6))</f>
        <v/>
      </c>
      <c r="Z219" s="19"/>
      <c r="AA219" s="18" t="str">
        <f aca="false">IF(B219="","",IF(AND(B219&lt;&gt;"Empty",F219=""),"part missing; ","")&amp;IF(AND(F219&lt;&gt;"",J219=""),"pieces missing; ","")&amp;IF(AND(F219&lt;&gt;"",O219=""),"part not on the Parts sheet; ","")&amp;IF(AND(B219="Empty",OR(F219&lt;&gt;"",K219&lt;&gt;"")),"empty tray with parts; ","")&amp;IF(AND(B219="Loaded",K219&lt;&gt;""),"second part: type Mixed; ","")&amp;IF(AND(Q219&lt;&gt;"",N(Q219)&gt;1),"over 100 % of the spec load; ","")&amp;IF(N(R219)&gt;Settings!$B$10,"over the tray maximum (kg); ","")&amp;IF(AND(K219&lt;&gt;"",IFERROR(INDEX(Parts!$C$6:$C$45,MATCH(K219,Parts!$A$6:$A$45,0)),O219)&lt;&gt;O219),"different processes in one tray; ","")&amp;IF(AND(S219&lt;&gt;"",T219=""),"rework reason missing; ",""))</f>
        <v/>
      </c>
    </row>
    <row r="220" customFormat="false" ht="15" hidden="false" customHeight="false" outlineLevel="0" collapsed="false">
      <c r="A220" s="18" t="str">
        <f aca="false">IF(B220="","",COUNTA(B$7:B220))</f>
        <v/>
      </c>
      <c r="B220" s="19"/>
      <c r="C220" s="20"/>
      <c r="D220" s="19" t="str">
        <f aca="false">IF(B220="","",IF(D219="",Report!$B$12,D219))</f>
        <v/>
      </c>
      <c r="E220" s="22" t="str">
        <f aca="false">IF(B220="","",IF(C220&lt;&gt;"",C220,E219+D219/1440+SUMIFS(Holds!$F$7:$F$46,Holds!$B$7:$B$46,"&gt;="&amp;E219,Holds!$B$7:$B$46,"&lt;"&amp;E219+D219/1440)/1440))</f>
        <v/>
      </c>
      <c r="F220" s="19"/>
      <c r="G220" s="19"/>
      <c r="H220" s="19"/>
      <c r="I220" s="19"/>
      <c r="J220" s="19"/>
      <c r="K220" s="19"/>
      <c r="L220" s="19"/>
      <c r="M220" s="19"/>
      <c r="N220" s="19"/>
      <c r="O220" s="18" t="str">
        <f aca="false">IF(F220="","",IFERROR(INDEX(Parts!$C$6:$C$45,MATCH(F220,Parts!$A$6:$A$45,0)),""))</f>
        <v/>
      </c>
      <c r="P220" s="18" t="str">
        <f aca="false">IF(F220="","",IFERROR(INDEX(Parts!$E$6:$E$45,MATCH(F220,Parts!$A$6:$A$45,0)),""))</f>
        <v/>
      </c>
      <c r="Q220" s="23" t="str">
        <f aca="false">IF(OR(J220="",P220="",P220=0),"",J220/P220+IF(OR(N220="",K220=""),0,IFERROR(N220/INDEX(Parts!$E$6:$E$45,MATCH(K220,Parts!$A$6:$A$45,0)),0)))</f>
        <v/>
      </c>
      <c r="R220" s="24" t="str">
        <f aca="false">IF(B220="","",IF(J220="",0,J220*IFERROR(INDEX(Parts!$F$6:$F$45,MATCH(F220,Parts!$A$6:$A$45,0)),0))+IF(N220="",0,N220*IFERROR(INDEX(Parts!$F$6:$F$45,MATCH(K220,Parts!$A$6:$A$45,0)),0)))</f>
        <v/>
      </c>
      <c r="S220" s="19"/>
      <c r="T220" s="19"/>
      <c r="U220" s="18" t="str">
        <f aca="false">IF(B220="","",IF(F220="",Settings!$B$9,IFERROR(INDEX(Parts!$H$6:$H$45,MATCH(F220,Parts!$A$6:$A$45,0))+0,Settings!$B$9)))</f>
        <v/>
      </c>
      <c r="V220" s="22" t="str">
        <f aca="false">IF(B220="","",IF(INDEX($E$7:$E$336,ROW()-6+Settings!$B$7)&lt;&gt;"",INDEX($E$7:$E$336,ROW()-6+Settings!$B$7),E220+Settings!$B$7*D220/1440))</f>
        <v/>
      </c>
      <c r="W220" s="22" t="str">
        <f aca="false">IF(B220="","",IF(INDEX($E$7:$E$336,ROW()-6+Settings!$B$7+Settings!$B$8)&lt;&gt;"",INDEX($E$7:$E$336,ROW()-6+Settings!$B$7+Settings!$B$8),E220+(Settings!$B$7+Settings!$B$8)*D220/1440)+U220/1440)</f>
        <v/>
      </c>
      <c r="X220" s="18" t="str">
        <f aca="false">IF(B220="","",IF(INDEX($E$7:$E$336,ROW()-6+Settings!$B$7+Settings!$B$8)&lt;&gt;"","line","estimate"))</f>
        <v/>
      </c>
      <c r="Y220" s="25" t="str">
        <f aca="false">IF(B220="","",INT(W220-Settings!$B$6))</f>
        <v/>
      </c>
      <c r="Z220" s="19"/>
      <c r="AA220" s="18" t="str">
        <f aca="false">IF(B220="","",IF(AND(B220&lt;&gt;"Empty",F220=""),"part missing; ","")&amp;IF(AND(F220&lt;&gt;"",J220=""),"pieces missing; ","")&amp;IF(AND(F220&lt;&gt;"",O220=""),"part not on the Parts sheet; ","")&amp;IF(AND(B220="Empty",OR(F220&lt;&gt;"",K220&lt;&gt;"")),"empty tray with parts; ","")&amp;IF(AND(B220="Loaded",K220&lt;&gt;""),"second part: type Mixed; ","")&amp;IF(AND(Q220&lt;&gt;"",N(Q220)&gt;1),"over 100 % of the spec load; ","")&amp;IF(N(R220)&gt;Settings!$B$10,"over the tray maximum (kg); ","")&amp;IF(AND(K220&lt;&gt;"",IFERROR(INDEX(Parts!$C$6:$C$45,MATCH(K220,Parts!$A$6:$A$45,0)),O220)&lt;&gt;O220),"different processes in one tray; ","")&amp;IF(AND(S220&lt;&gt;"",T220=""),"rework reason missing; ",""))</f>
        <v/>
      </c>
    </row>
    <row r="221" customFormat="false" ht="15" hidden="false" customHeight="false" outlineLevel="0" collapsed="false">
      <c r="A221" s="18" t="str">
        <f aca="false">IF(B221="","",COUNTA(B$7:B221))</f>
        <v/>
      </c>
      <c r="B221" s="19"/>
      <c r="C221" s="20"/>
      <c r="D221" s="19" t="str">
        <f aca="false">IF(B221="","",IF(D220="",Report!$B$12,D220))</f>
        <v/>
      </c>
      <c r="E221" s="22" t="str">
        <f aca="false">IF(B221="","",IF(C221&lt;&gt;"",C221,E220+D220/1440+SUMIFS(Holds!$F$7:$F$46,Holds!$B$7:$B$46,"&gt;="&amp;E220,Holds!$B$7:$B$46,"&lt;"&amp;E220+D220/1440)/1440))</f>
        <v/>
      </c>
      <c r="F221" s="19"/>
      <c r="G221" s="19"/>
      <c r="H221" s="19"/>
      <c r="I221" s="19"/>
      <c r="J221" s="19"/>
      <c r="K221" s="19"/>
      <c r="L221" s="19"/>
      <c r="M221" s="19"/>
      <c r="N221" s="19"/>
      <c r="O221" s="18" t="str">
        <f aca="false">IF(F221="","",IFERROR(INDEX(Parts!$C$6:$C$45,MATCH(F221,Parts!$A$6:$A$45,0)),""))</f>
        <v/>
      </c>
      <c r="P221" s="18" t="str">
        <f aca="false">IF(F221="","",IFERROR(INDEX(Parts!$E$6:$E$45,MATCH(F221,Parts!$A$6:$A$45,0)),""))</f>
        <v/>
      </c>
      <c r="Q221" s="23" t="str">
        <f aca="false">IF(OR(J221="",P221="",P221=0),"",J221/P221+IF(OR(N221="",K221=""),0,IFERROR(N221/INDEX(Parts!$E$6:$E$45,MATCH(K221,Parts!$A$6:$A$45,0)),0)))</f>
        <v/>
      </c>
      <c r="R221" s="24" t="str">
        <f aca="false">IF(B221="","",IF(J221="",0,J221*IFERROR(INDEX(Parts!$F$6:$F$45,MATCH(F221,Parts!$A$6:$A$45,0)),0))+IF(N221="",0,N221*IFERROR(INDEX(Parts!$F$6:$F$45,MATCH(K221,Parts!$A$6:$A$45,0)),0)))</f>
        <v/>
      </c>
      <c r="S221" s="19"/>
      <c r="T221" s="19"/>
      <c r="U221" s="18" t="str">
        <f aca="false">IF(B221="","",IF(F221="",Settings!$B$9,IFERROR(INDEX(Parts!$H$6:$H$45,MATCH(F221,Parts!$A$6:$A$45,0))+0,Settings!$B$9)))</f>
        <v/>
      </c>
      <c r="V221" s="22" t="str">
        <f aca="false">IF(B221="","",IF(INDEX($E$7:$E$336,ROW()-6+Settings!$B$7)&lt;&gt;"",INDEX($E$7:$E$336,ROW()-6+Settings!$B$7),E221+Settings!$B$7*D221/1440))</f>
        <v/>
      </c>
      <c r="W221" s="22" t="str">
        <f aca="false">IF(B221="","",IF(INDEX($E$7:$E$336,ROW()-6+Settings!$B$7+Settings!$B$8)&lt;&gt;"",INDEX($E$7:$E$336,ROW()-6+Settings!$B$7+Settings!$B$8),E221+(Settings!$B$7+Settings!$B$8)*D221/1440)+U221/1440)</f>
        <v/>
      </c>
      <c r="X221" s="18" t="str">
        <f aca="false">IF(B221="","",IF(INDEX($E$7:$E$336,ROW()-6+Settings!$B$7+Settings!$B$8)&lt;&gt;"","line","estimate"))</f>
        <v/>
      </c>
      <c r="Y221" s="25" t="str">
        <f aca="false">IF(B221="","",INT(W221-Settings!$B$6))</f>
        <v/>
      </c>
      <c r="Z221" s="19"/>
      <c r="AA221" s="18" t="str">
        <f aca="false">IF(B221="","",IF(AND(B221&lt;&gt;"Empty",F221=""),"part missing; ","")&amp;IF(AND(F221&lt;&gt;"",J221=""),"pieces missing; ","")&amp;IF(AND(F221&lt;&gt;"",O221=""),"part not on the Parts sheet; ","")&amp;IF(AND(B221="Empty",OR(F221&lt;&gt;"",K221&lt;&gt;"")),"empty tray with parts; ","")&amp;IF(AND(B221="Loaded",K221&lt;&gt;""),"second part: type Mixed; ","")&amp;IF(AND(Q221&lt;&gt;"",N(Q221)&gt;1),"over 100 % of the spec load; ","")&amp;IF(N(R221)&gt;Settings!$B$10,"over the tray maximum (kg); ","")&amp;IF(AND(K221&lt;&gt;"",IFERROR(INDEX(Parts!$C$6:$C$45,MATCH(K221,Parts!$A$6:$A$45,0)),O221)&lt;&gt;O221),"different processes in one tray; ","")&amp;IF(AND(S221&lt;&gt;"",T221=""),"rework reason missing; ",""))</f>
        <v/>
      </c>
    </row>
    <row r="222" customFormat="false" ht="15" hidden="false" customHeight="false" outlineLevel="0" collapsed="false">
      <c r="A222" s="18" t="str">
        <f aca="false">IF(B222="","",COUNTA(B$7:B222))</f>
        <v/>
      </c>
      <c r="B222" s="19"/>
      <c r="C222" s="20"/>
      <c r="D222" s="19" t="str">
        <f aca="false">IF(B222="","",IF(D221="",Report!$B$12,D221))</f>
        <v/>
      </c>
      <c r="E222" s="22" t="str">
        <f aca="false">IF(B222="","",IF(C222&lt;&gt;"",C222,E221+D221/1440+SUMIFS(Holds!$F$7:$F$46,Holds!$B$7:$B$46,"&gt;="&amp;E221,Holds!$B$7:$B$46,"&lt;"&amp;E221+D221/1440)/1440))</f>
        <v/>
      </c>
      <c r="F222" s="19"/>
      <c r="G222" s="19"/>
      <c r="H222" s="19"/>
      <c r="I222" s="19"/>
      <c r="J222" s="19"/>
      <c r="K222" s="19"/>
      <c r="L222" s="19"/>
      <c r="M222" s="19"/>
      <c r="N222" s="19"/>
      <c r="O222" s="18" t="str">
        <f aca="false">IF(F222="","",IFERROR(INDEX(Parts!$C$6:$C$45,MATCH(F222,Parts!$A$6:$A$45,0)),""))</f>
        <v/>
      </c>
      <c r="P222" s="18" t="str">
        <f aca="false">IF(F222="","",IFERROR(INDEX(Parts!$E$6:$E$45,MATCH(F222,Parts!$A$6:$A$45,0)),""))</f>
        <v/>
      </c>
      <c r="Q222" s="23" t="str">
        <f aca="false">IF(OR(J222="",P222="",P222=0),"",J222/P222+IF(OR(N222="",K222=""),0,IFERROR(N222/INDEX(Parts!$E$6:$E$45,MATCH(K222,Parts!$A$6:$A$45,0)),0)))</f>
        <v/>
      </c>
      <c r="R222" s="24" t="str">
        <f aca="false">IF(B222="","",IF(J222="",0,J222*IFERROR(INDEX(Parts!$F$6:$F$45,MATCH(F222,Parts!$A$6:$A$45,0)),0))+IF(N222="",0,N222*IFERROR(INDEX(Parts!$F$6:$F$45,MATCH(K222,Parts!$A$6:$A$45,0)),0)))</f>
        <v/>
      </c>
      <c r="S222" s="19"/>
      <c r="T222" s="19"/>
      <c r="U222" s="18" t="str">
        <f aca="false">IF(B222="","",IF(F222="",Settings!$B$9,IFERROR(INDEX(Parts!$H$6:$H$45,MATCH(F222,Parts!$A$6:$A$45,0))+0,Settings!$B$9)))</f>
        <v/>
      </c>
      <c r="V222" s="22" t="str">
        <f aca="false">IF(B222="","",IF(INDEX($E$7:$E$336,ROW()-6+Settings!$B$7)&lt;&gt;"",INDEX($E$7:$E$336,ROW()-6+Settings!$B$7),E222+Settings!$B$7*D222/1440))</f>
        <v/>
      </c>
      <c r="W222" s="22" t="str">
        <f aca="false">IF(B222="","",IF(INDEX($E$7:$E$336,ROW()-6+Settings!$B$7+Settings!$B$8)&lt;&gt;"",INDEX($E$7:$E$336,ROW()-6+Settings!$B$7+Settings!$B$8),E222+(Settings!$B$7+Settings!$B$8)*D222/1440)+U222/1440)</f>
        <v/>
      </c>
      <c r="X222" s="18" t="str">
        <f aca="false">IF(B222="","",IF(INDEX($E$7:$E$336,ROW()-6+Settings!$B$7+Settings!$B$8)&lt;&gt;"","line","estimate"))</f>
        <v/>
      </c>
      <c r="Y222" s="25" t="str">
        <f aca="false">IF(B222="","",INT(W222-Settings!$B$6))</f>
        <v/>
      </c>
      <c r="Z222" s="19"/>
      <c r="AA222" s="18" t="str">
        <f aca="false">IF(B222="","",IF(AND(B222&lt;&gt;"Empty",F222=""),"part missing; ","")&amp;IF(AND(F222&lt;&gt;"",J222=""),"pieces missing; ","")&amp;IF(AND(F222&lt;&gt;"",O222=""),"part not on the Parts sheet; ","")&amp;IF(AND(B222="Empty",OR(F222&lt;&gt;"",K222&lt;&gt;"")),"empty tray with parts; ","")&amp;IF(AND(B222="Loaded",K222&lt;&gt;""),"second part: type Mixed; ","")&amp;IF(AND(Q222&lt;&gt;"",N(Q222)&gt;1),"over 100 % of the spec load; ","")&amp;IF(N(R222)&gt;Settings!$B$10,"over the tray maximum (kg); ","")&amp;IF(AND(K222&lt;&gt;"",IFERROR(INDEX(Parts!$C$6:$C$45,MATCH(K222,Parts!$A$6:$A$45,0)),O222)&lt;&gt;O222),"different processes in one tray; ","")&amp;IF(AND(S222&lt;&gt;"",T222=""),"rework reason missing; ",""))</f>
        <v/>
      </c>
    </row>
    <row r="223" customFormat="false" ht="15" hidden="false" customHeight="false" outlineLevel="0" collapsed="false">
      <c r="A223" s="18" t="str">
        <f aca="false">IF(B223="","",COUNTA(B$7:B223))</f>
        <v/>
      </c>
      <c r="B223" s="19"/>
      <c r="C223" s="20"/>
      <c r="D223" s="19" t="str">
        <f aca="false">IF(B223="","",IF(D222="",Report!$B$12,D222))</f>
        <v/>
      </c>
      <c r="E223" s="22" t="str">
        <f aca="false">IF(B223="","",IF(C223&lt;&gt;"",C223,E222+D222/1440+SUMIFS(Holds!$F$7:$F$46,Holds!$B$7:$B$46,"&gt;="&amp;E222,Holds!$B$7:$B$46,"&lt;"&amp;E222+D222/1440)/1440))</f>
        <v/>
      </c>
      <c r="F223" s="19"/>
      <c r="G223" s="19"/>
      <c r="H223" s="19"/>
      <c r="I223" s="19"/>
      <c r="J223" s="19"/>
      <c r="K223" s="19"/>
      <c r="L223" s="19"/>
      <c r="M223" s="19"/>
      <c r="N223" s="19"/>
      <c r="O223" s="18" t="str">
        <f aca="false">IF(F223="","",IFERROR(INDEX(Parts!$C$6:$C$45,MATCH(F223,Parts!$A$6:$A$45,0)),""))</f>
        <v/>
      </c>
      <c r="P223" s="18" t="str">
        <f aca="false">IF(F223="","",IFERROR(INDEX(Parts!$E$6:$E$45,MATCH(F223,Parts!$A$6:$A$45,0)),""))</f>
        <v/>
      </c>
      <c r="Q223" s="23" t="str">
        <f aca="false">IF(OR(J223="",P223="",P223=0),"",J223/P223+IF(OR(N223="",K223=""),0,IFERROR(N223/INDEX(Parts!$E$6:$E$45,MATCH(K223,Parts!$A$6:$A$45,0)),0)))</f>
        <v/>
      </c>
      <c r="R223" s="24" t="str">
        <f aca="false">IF(B223="","",IF(J223="",0,J223*IFERROR(INDEX(Parts!$F$6:$F$45,MATCH(F223,Parts!$A$6:$A$45,0)),0))+IF(N223="",0,N223*IFERROR(INDEX(Parts!$F$6:$F$45,MATCH(K223,Parts!$A$6:$A$45,0)),0)))</f>
        <v/>
      </c>
      <c r="S223" s="19"/>
      <c r="T223" s="19"/>
      <c r="U223" s="18" t="str">
        <f aca="false">IF(B223="","",IF(F223="",Settings!$B$9,IFERROR(INDEX(Parts!$H$6:$H$45,MATCH(F223,Parts!$A$6:$A$45,0))+0,Settings!$B$9)))</f>
        <v/>
      </c>
      <c r="V223" s="22" t="str">
        <f aca="false">IF(B223="","",IF(INDEX($E$7:$E$336,ROW()-6+Settings!$B$7)&lt;&gt;"",INDEX($E$7:$E$336,ROW()-6+Settings!$B$7),E223+Settings!$B$7*D223/1440))</f>
        <v/>
      </c>
      <c r="W223" s="22" t="str">
        <f aca="false">IF(B223="","",IF(INDEX($E$7:$E$336,ROW()-6+Settings!$B$7+Settings!$B$8)&lt;&gt;"",INDEX($E$7:$E$336,ROW()-6+Settings!$B$7+Settings!$B$8),E223+(Settings!$B$7+Settings!$B$8)*D223/1440)+U223/1440)</f>
        <v/>
      </c>
      <c r="X223" s="18" t="str">
        <f aca="false">IF(B223="","",IF(INDEX($E$7:$E$336,ROW()-6+Settings!$B$7+Settings!$B$8)&lt;&gt;"","line","estimate"))</f>
        <v/>
      </c>
      <c r="Y223" s="25" t="str">
        <f aca="false">IF(B223="","",INT(W223-Settings!$B$6))</f>
        <v/>
      </c>
      <c r="Z223" s="19"/>
      <c r="AA223" s="18" t="str">
        <f aca="false">IF(B223="","",IF(AND(B223&lt;&gt;"Empty",F223=""),"part missing; ","")&amp;IF(AND(F223&lt;&gt;"",J223=""),"pieces missing; ","")&amp;IF(AND(F223&lt;&gt;"",O223=""),"part not on the Parts sheet; ","")&amp;IF(AND(B223="Empty",OR(F223&lt;&gt;"",K223&lt;&gt;"")),"empty tray with parts; ","")&amp;IF(AND(B223="Loaded",K223&lt;&gt;""),"second part: type Mixed; ","")&amp;IF(AND(Q223&lt;&gt;"",N(Q223)&gt;1),"over 100 % of the spec load; ","")&amp;IF(N(R223)&gt;Settings!$B$10,"over the tray maximum (kg); ","")&amp;IF(AND(K223&lt;&gt;"",IFERROR(INDEX(Parts!$C$6:$C$45,MATCH(K223,Parts!$A$6:$A$45,0)),O223)&lt;&gt;O223),"different processes in one tray; ","")&amp;IF(AND(S223&lt;&gt;"",T223=""),"rework reason missing; ",""))</f>
        <v/>
      </c>
    </row>
    <row r="224" customFormat="false" ht="15" hidden="false" customHeight="false" outlineLevel="0" collapsed="false">
      <c r="A224" s="18" t="str">
        <f aca="false">IF(B224="","",COUNTA(B$7:B224))</f>
        <v/>
      </c>
      <c r="B224" s="19"/>
      <c r="C224" s="20"/>
      <c r="D224" s="19" t="str">
        <f aca="false">IF(B224="","",IF(D223="",Report!$B$12,D223))</f>
        <v/>
      </c>
      <c r="E224" s="22" t="str">
        <f aca="false">IF(B224="","",IF(C224&lt;&gt;"",C224,E223+D223/1440+SUMIFS(Holds!$F$7:$F$46,Holds!$B$7:$B$46,"&gt;="&amp;E223,Holds!$B$7:$B$46,"&lt;"&amp;E223+D223/1440)/1440))</f>
        <v/>
      </c>
      <c r="F224" s="19"/>
      <c r="G224" s="19"/>
      <c r="H224" s="19"/>
      <c r="I224" s="19"/>
      <c r="J224" s="19"/>
      <c r="K224" s="19"/>
      <c r="L224" s="19"/>
      <c r="M224" s="19"/>
      <c r="N224" s="19"/>
      <c r="O224" s="18" t="str">
        <f aca="false">IF(F224="","",IFERROR(INDEX(Parts!$C$6:$C$45,MATCH(F224,Parts!$A$6:$A$45,0)),""))</f>
        <v/>
      </c>
      <c r="P224" s="18" t="str">
        <f aca="false">IF(F224="","",IFERROR(INDEX(Parts!$E$6:$E$45,MATCH(F224,Parts!$A$6:$A$45,0)),""))</f>
        <v/>
      </c>
      <c r="Q224" s="23" t="str">
        <f aca="false">IF(OR(J224="",P224="",P224=0),"",J224/P224+IF(OR(N224="",K224=""),0,IFERROR(N224/INDEX(Parts!$E$6:$E$45,MATCH(K224,Parts!$A$6:$A$45,0)),0)))</f>
        <v/>
      </c>
      <c r="R224" s="24" t="str">
        <f aca="false">IF(B224="","",IF(J224="",0,J224*IFERROR(INDEX(Parts!$F$6:$F$45,MATCH(F224,Parts!$A$6:$A$45,0)),0))+IF(N224="",0,N224*IFERROR(INDEX(Parts!$F$6:$F$45,MATCH(K224,Parts!$A$6:$A$45,0)),0)))</f>
        <v/>
      </c>
      <c r="S224" s="19"/>
      <c r="T224" s="19"/>
      <c r="U224" s="18" t="str">
        <f aca="false">IF(B224="","",IF(F224="",Settings!$B$9,IFERROR(INDEX(Parts!$H$6:$H$45,MATCH(F224,Parts!$A$6:$A$45,0))+0,Settings!$B$9)))</f>
        <v/>
      </c>
      <c r="V224" s="22" t="str">
        <f aca="false">IF(B224="","",IF(INDEX($E$7:$E$336,ROW()-6+Settings!$B$7)&lt;&gt;"",INDEX($E$7:$E$336,ROW()-6+Settings!$B$7),E224+Settings!$B$7*D224/1440))</f>
        <v/>
      </c>
      <c r="W224" s="22" t="str">
        <f aca="false">IF(B224="","",IF(INDEX($E$7:$E$336,ROW()-6+Settings!$B$7+Settings!$B$8)&lt;&gt;"",INDEX($E$7:$E$336,ROW()-6+Settings!$B$7+Settings!$B$8),E224+(Settings!$B$7+Settings!$B$8)*D224/1440)+U224/1440)</f>
        <v/>
      </c>
      <c r="X224" s="18" t="str">
        <f aca="false">IF(B224="","",IF(INDEX($E$7:$E$336,ROW()-6+Settings!$B$7+Settings!$B$8)&lt;&gt;"","line","estimate"))</f>
        <v/>
      </c>
      <c r="Y224" s="25" t="str">
        <f aca="false">IF(B224="","",INT(W224-Settings!$B$6))</f>
        <v/>
      </c>
      <c r="Z224" s="19"/>
      <c r="AA224" s="18" t="str">
        <f aca="false">IF(B224="","",IF(AND(B224&lt;&gt;"Empty",F224=""),"part missing; ","")&amp;IF(AND(F224&lt;&gt;"",J224=""),"pieces missing; ","")&amp;IF(AND(F224&lt;&gt;"",O224=""),"part not on the Parts sheet; ","")&amp;IF(AND(B224="Empty",OR(F224&lt;&gt;"",K224&lt;&gt;"")),"empty tray with parts; ","")&amp;IF(AND(B224="Loaded",K224&lt;&gt;""),"second part: type Mixed; ","")&amp;IF(AND(Q224&lt;&gt;"",N(Q224)&gt;1),"over 100 % of the spec load; ","")&amp;IF(N(R224)&gt;Settings!$B$10,"over the tray maximum (kg); ","")&amp;IF(AND(K224&lt;&gt;"",IFERROR(INDEX(Parts!$C$6:$C$45,MATCH(K224,Parts!$A$6:$A$45,0)),O224)&lt;&gt;O224),"different processes in one tray; ","")&amp;IF(AND(S224&lt;&gt;"",T224=""),"rework reason missing; ",""))</f>
        <v/>
      </c>
    </row>
    <row r="225" customFormat="false" ht="15" hidden="false" customHeight="false" outlineLevel="0" collapsed="false">
      <c r="A225" s="18" t="str">
        <f aca="false">IF(B225="","",COUNTA(B$7:B225))</f>
        <v/>
      </c>
      <c r="B225" s="19"/>
      <c r="C225" s="20"/>
      <c r="D225" s="19" t="str">
        <f aca="false">IF(B225="","",IF(D224="",Report!$B$12,D224))</f>
        <v/>
      </c>
      <c r="E225" s="22" t="str">
        <f aca="false">IF(B225="","",IF(C225&lt;&gt;"",C225,E224+D224/1440+SUMIFS(Holds!$F$7:$F$46,Holds!$B$7:$B$46,"&gt;="&amp;E224,Holds!$B$7:$B$46,"&lt;"&amp;E224+D224/1440)/1440))</f>
        <v/>
      </c>
      <c r="F225" s="19"/>
      <c r="G225" s="19"/>
      <c r="H225" s="19"/>
      <c r="I225" s="19"/>
      <c r="J225" s="19"/>
      <c r="K225" s="19"/>
      <c r="L225" s="19"/>
      <c r="M225" s="19"/>
      <c r="N225" s="19"/>
      <c r="O225" s="18" t="str">
        <f aca="false">IF(F225="","",IFERROR(INDEX(Parts!$C$6:$C$45,MATCH(F225,Parts!$A$6:$A$45,0)),""))</f>
        <v/>
      </c>
      <c r="P225" s="18" t="str">
        <f aca="false">IF(F225="","",IFERROR(INDEX(Parts!$E$6:$E$45,MATCH(F225,Parts!$A$6:$A$45,0)),""))</f>
        <v/>
      </c>
      <c r="Q225" s="23" t="str">
        <f aca="false">IF(OR(J225="",P225="",P225=0),"",J225/P225+IF(OR(N225="",K225=""),0,IFERROR(N225/INDEX(Parts!$E$6:$E$45,MATCH(K225,Parts!$A$6:$A$45,0)),0)))</f>
        <v/>
      </c>
      <c r="R225" s="24" t="str">
        <f aca="false">IF(B225="","",IF(J225="",0,J225*IFERROR(INDEX(Parts!$F$6:$F$45,MATCH(F225,Parts!$A$6:$A$45,0)),0))+IF(N225="",0,N225*IFERROR(INDEX(Parts!$F$6:$F$45,MATCH(K225,Parts!$A$6:$A$45,0)),0)))</f>
        <v/>
      </c>
      <c r="S225" s="19"/>
      <c r="T225" s="19"/>
      <c r="U225" s="18" t="str">
        <f aca="false">IF(B225="","",IF(F225="",Settings!$B$9,IFERROR(INDEX(Parts!$H$6:$H$45,MATCH(F225,Parts!$A$6:$A$45,0))+0,Settings!$B$9)))</f>
        <v/>
      </c>
      <c r="V225" s="22" t="str">
        <f aca="false">IF(B225="","",IF(INDEX($E$7:$E$336,ROW()-6+Settings!$B$7)&lt;&gt;"",INDEX($E$7:$E$336,ROW()-6+Settings!$B$7),E225+Settings!$B$7*D225/1440))</f>
        <v/>
      </c>
      <c r="W225" s="22" t="str">
        <f aca="false">IF(B225="","",IF(INDEX($E$7:$E$336,ROW()-6+Settings!$B$7+Settings!$B$8)&lt;&gt;"",INDEX($E$7:$E$336,ROW()-6+Settings!$B$7+Settings!$B$8),E225+(Settings!$B$7+Settings!$B$8)*D225/1440)+U225/1440)</f>
        <v/>
      </c>
      <c r="X225" s="18" t="str">
        <f aca="false">IF(B225="","",IF(INDEX($E$7:$E$336,ROW()-6+Settings!$B$7+Settings!$B$8)&lt;&gt;"","line","estimate"))</f>
        <v/>
      </c>
      <c r="Y225" s="25" t="str">
        <f aca="false">IF(B225="","",INT(W225-Settings!$B$6))</f>
        <v/>
      </c>
      <c r="Z225" s="19"/>
      <c r="AA225" s="18" t="str">
        <f aca="false">IF(B225="","",IF(AND(B225&lt;&gt;"Empty",F225=""),"part missing; ","")&amp;IF(AND(F225&lt;&gt;"",J225=""),"pieces missing; ","")&amp;IF(AND(F225&lt;&gt;"",O225=""),"part not on the Parts sheet; ","")&amp;IF(AND(B225="Empty",OR(F225&lt;&gt;"",K225&lt;&gt;"")),"empty tray with parts; ","")&amp;IF(AND(B225="Loaded",K225&lt;&gt;""),"second part: type Mixed; ","")&amp;IF(AND(Q225&lt;&gt;"",N(Q225)&gt;1),"over 100 % of the spec load; ","")&amp;IF(N(R225)&gt;Settings!$B$10,"over the tray maximum (kg); ","")&amp;IF(AND(K225&lt;&gt;"",IFERROR(INDEX(Parts!$C$6:$C$45,MATCH(K225,Parts!$A$6:$A$45,0)),O225)&lt;&gt;O225),"different processes in one tray; ","")&amp;IF(AND(S225&lt;&gt;"",T225=""),"rework reason missing; ",""))</f>
        <v/>
      </c>
    </row>
    <row r="226" customFormat="false" ht="15" hidden="false" customHeight="false" outlineLevel="0" collapsed="false">
      <c r="A226" s="18" t="str">
        <f aca="false">IF(B226="","",COUNTA(B$7:B226))</f>
        <v/>
      </c>
      <c r="B226" s="19"/>
      <c r="C226" s="20"/>
      <c r="D226" s="19" t="str">
        <f aca="false">IF(B226="","",IF(D225="",Report!$B$12,D225))</f>
        <v/>
      </c>
      <c r="E226" s="22" t="str">
        <f aca="false">IF(B226="","",IF(C226&lt;&gt;"",C226,E225+D225/1440+SUMIFS(Holds!$F$7:$F$46,Holds!$B$7:$B$46,"&gt;="&amp;E225,Holds!$B$7:$B$46,"&lt;"&amp;E225+D225/1440)/1440))</f>
        <v/>
      </c>
      <c r="F226" s="19"/>
      <c r="G226" s="19"/>
      <c r="H226" s="19"/>
      <c r="I226" s="19"/>
      <c r="J226" s="19"/>
      <c r="K226" s="19"/>
      <c r="L226" s="19"/>
      <c r="M226" s="19"/>
      <c r="N226" s="19"/>
      <c r="O226" s="18" t="str">
        <f aca="false">IF(F226="","",IFERROR(INDEX(Parts!$C$6:$C$45,MATCH(F226,Parts!$A$6:$A$45,0)),""))</f>
        <v/>
      </c>
      <c r="P226" s="18" t="str">
        <f aca="false">IF(F226="","",IFERROR(INDEX(Parts!$E$6:$E$45,MATCH(F226,Parts!$A$6:$A$45,0)),""))</f>
        <v/>
      </c>
      <c r="Q226" s="23" t="str">
        <f aca="false">IF(OR(J226="",P226="",P226=0),"",J226/P226+IF(OR(N226="",K226=""),0,IFERROR(N226/INDEX(Parts!$E$6:$E$45,MATCH(K226,Parts!$A$6:$A$45,0)),0)))</f>
        <v/>
      </c>
      <c r="R226" s="24" t="str">
        <f aca="false">IF(B226="","",IF(J226="",0,J226*IFERROR(INDEX(Parts!$F$6:$F$45,MATCH(F226,Parts!$A$6:$A$45,0)),0))+IF(N226="",0,N226*IFERROR(INDEX(Parts!$F$6:$F$45,MATCH(K226,Parts!$A$6:$A$45,0)),0)))</f>
        <v/>
      </c>
      <c r="S226" s="19"/>
      <c r="T226" s="19"/>
      <c r="U226" s="18" t="str">
        <f aca="false">IF(B226="","",IF(F226="",Settings!$B$9,IFERROR(INDEX(Parts!$H$6:$H$45,MATCH(F226,Parts!$A$6:$A$45,0))+0,Settings!$B$9)))</f>
        <v/>
      </c>
      <c r="V226" s="22" t="str">
        <f aca="false">IF(B226="","",IF(INDEX($E$7:$E$336,ROW()-6+Settings!$B$7)&lt;&gt;"",INDEX($E$7:$E$336,ROW()-6+Settings!$B$7),E226+Settings!$B$7*D226/1440))</f>
        <v/>
      </c>
      <c r="W226" s="22" t="str">
        <f aca="false">IF(B226="","",IF(INDEX($E$7:$E$336,ROW()-6+Settings!$B$7+Settings!$B$8)&lt;&gt;"",INDEX($E$7:$E$336,ROW()-6+Settings!$B$7+Settings!$B$8),E226+(Settings!$B$7+Settings!$B$8)*D226/1440)+U226/1440)</f>
        <v/>
      </c>
      <c r="X226" s="18" t="str">
        <f aca="false">IF(B226="","",IF(INDEX($E$7:$E$336,ROW()-6+Settings!$B$7+Settings!$B$8)&lt;&gt;"","line","estimate"))</f>
        <v/>
      </c>
      <c r="Y226" s="25" t="str">
        <f aca="false">IF(B226="","",INT(W226-Settings!$B$6))</f>
        <v/>
      </c>
      <c r="Z226" s="19"/>
      <c r="AA226" s="18" t="str">
        <f aca="false">IF(B226="","",IF(AND(B226&lt;&gt;"Empty",F226=""),"part missing; ","")&amp;IF(AND(F226&lt;&gt;"",J226=""),"pieces missing; ","")&amp;IF(AND(F226&lt;&gt;"",O226=""),"part not on the Parts sheet; ","")&amp;IF(AND(B226="Empty",OR(F226&lt;&gt;"",K226&lt;&gt;"")),"empty tray with parts; ","")&amp;IF(AND(B226="Loaded",K226&lt;&gt;""),"second part: type Mixed; ","")&amp;IF(AND(Q226&lt;&gt;"",N(Q226)&gt;1),"over 100 % of the spec load; ","")&amp;IF(N(R226)&gt;Settings!$B$10,"over the tray maximum (kg); ","")&amp;IF(AND(K226&lt;&gt;"",IFERROR(INDEX(Parts!$C$6:$C$45,MATCH(K226,Parts!$A$6:$A$45,0)),O226)&lt;&gt;O226),"different processes in one tray; ","")&amp;IF(AND(S226&lt;&gt;"",T226=""),"rework reason missing; ",""))</f>
        <v/>
      </c>
    </row>
    <row r="227" customFormat="false" ht="15" hidden="false" customHeight="false" outlineLevel="0" collapsed="false">
      <c r="A227" s="18" t="str">
        <f aca="false">IF(B227="","",COUNTA(B$7:B227))</f>
        <v/>
      </c>
      <c r="B227" s="19"/>
      <c r="C227" s="20"/>
      <c r="D227" s="19" t="str">
        <f aca="false">IF(B227="","",IF(D226="",Report!$B$12,D226))</f>
        <v/>
      </c>
      <c r="E227" s="22" t="str">
        <f aca="false">IF(B227="","",IF(C227&lt;&gt;"",C227,E226+D226/1440+SUMIFS(Holds!$F$7:$F$46,Holds!$B$7:$B$46,"&gt;="&amp;E226,Holds!$B$7:$B$46,"&lt;"&amp;E226+D226/1440)/1440))</f>
        <v/>
      </c>
      <c r="F227" s="19"/>
      <c r="G227" s="19"/>
      <c r="H227" s="19"/>
      <c r="I227" s="19"/>
      <c r="J227" s="19"/>
      <c r="K227" s="19"/>
      <c r="L227" s="19"/>
      <c r="M227" s="19"/>
      <c r="N227" s="19"/>
      <c r="O227" s="18" t="str">
        <f aca="false">IF(F227="","",IFERROR(INDEX(Parts!$C$6:$C$45,MATCH(F227,Parts!$A$6:$A$45,0)),""))</f>
        <v/>
      </c>
      <c r="P227" s="18" t="str">
        <f aca="false">IF(F227="","",IFERROR(INDEX(Parts!$E$6:$E$45,MATCH(F227,Parts!$A$6:$A$45,0)),""))</f>
        <v/>
      </c>
      <c r="Q227" s="23" t="str">
        <f aca="false">IF(OR(J227="",P227="",P227=0),"",J227/P227+IF(OR(N227="",K227=""),0,IFERROR(N227/INDEX(Parts!$E$6:$E$45,MATCH(K227,Parts!$A$6:$A$45,0)),0)))</f>
        <v/>
      </c>
      <c r="R227" s="24" t="str">
        <f aca="false">IF(B227="","",IF(J227="",0,J227*IFERROR(INDEX(Parts!$F$6:$F$45,MATCH(F227,Parts!$A$6:$A$45,0)),0))+IF(N227="",0,N227*IFERROR(INDEX(Parts!$F$6:$F$45,MATCH(K227,Parts!$A$6:$A$45,0)),0)))</f>
        <v/>
      </c>
      <c r="S227" s="19"/>
      <c r="T227" s="19"/>
      <c r="U227" s="18" t="str">
        <f aca="false">IF(B227="","",IF(F227="",Settings!$B$9,IFERROR(INDEX(Parts!$H$6:$H$45,MATCH(F227,Parts!$A$6:$A$45,0))+0,Settings!$B$9)))</f>
        <v/>
      </c>
      <c r="V227" s="22" t="str">
        <f aca="false">IF(B227="","",IF(INDEX($E$7:$E$336,ROW()-6+Settings!$B$7)&lt;&gt;"",INDEX($E$7:$E$336,ROW()-6+Settings!$B$7),E227+Settings!$B$7*D227/1440))</f>
        <v/>
      </c>
      <c r="W227" s="22" t="str">
        <f aca="false">IF(B227="","",IF(INDEX($E$7:$E$336,ROW()-6+Settings!$B$7+Settings!$B$8)&lt;&gt;"",INDEX($E$7:$E$336,ROW()-6+Settings!$B$7+Settings!$B$8),E227+(Settings!$B$7+Settings!$B$8)*D227/1440)+U227/1440)</f>
        <v/>
      </c>
      <c r="X227" s="18" t="str">
        <f aca="false">IF(B227="","",IF(INDEX($E$7:$E$336,ROW()-6+Settings!$B$7+Settings!$B$8)&lt;&gt;"","line","estimate"))</f>
        <v/>
      </c>
      <c r="Y227" s="25" t="str">
        <f aca="false">IF(B227="","",INT(W227-Settings!$B$6))</f>
        <v/>
      </c>
      <c r="Z227" s="19"/>
      <c r="AA227" s="18" t="str">
        <f aca="false">IF(B227="","",IF(AND(B227&lt;&gt;"Empty",F227=""),"part missing; ","")&amp;IF(AND(F227&lt;&gt;"",J227=""),"pieces missing; ","")&amp;IF(AND(F227&lt;&gt;"",O227=""),"part not on the Parts sheet; ","")&amp;IF(AND(B227="Empty",OR(F227&lt;&gt;"",K227&lt;&gt;"")),"empty tray with parts; ","")&amp;IF(AND(B227="Loaded",K227&lt;&gt;""),"second part: type Mixed; ","")&amp;IF(AND(Q227&lt;&gt;"",N(Q227)&gt;1),"over 100 % of the spec load; ","")&amp;IF(N(R227)&gt;Settings!$B$10,"over the tray maximum (kg); ","")&amp;IF(AND(K227&lt;&gt;"",IFERROR(INDEX(Parts!$C$6:$C$45,MATCH(K227,Parts!$A$6:$A$45,0)),O227)&lt;&gt;O227),"different processes in one tray; ","")&amp;IF(AND(S227&lt;&gt;"",T227=""),"rework reason missing; ",""))</f>
        <v/>
      </c>
    </row>
    <row r="228" customFormat="false" ht="15" hidden="false" customHeight="false" outlineLevel="0" collapsed="false">
      <c r="A228" s="18" t="str">
        <f aca="false">IF(B228="","",COUNTA(B$7:B228))</f>
        <v/>
      </c>
      <c r="B228" s="19"/>
      <c r="C228" s="20"/>
      <c r="D228" s="19" t="str">
        <f aca="false">IF(B228="","",IF(D227="",Report!$B$12,D227))</f>
        <v/>
      </c>
      <c r="E228" s="22" t="str">
        <f aca="false">IF(B228="","",IF(C228&lt;&gt;"",C228,E227+D227/1440+SUMIFS(Holds!$F$7:$F$46,Holds!$B$7:$B$46,"&gt;="&amp;E227,Holds!$B$7:$B$46,"&lt;"&amp;E227+D227/1440)/1440))</f>
        <v/>
      </c>
      <c r="F228" s="19"/>
      <c r="G228" s="19"/>
      <c r="H228" s="19"/>
      <c r="I228" s="19"/>
      <c r="J228" s="19"/>
      <c r="K228" s="19"/>
      <c r="L228" s="19"/>
      <c r="M228" s="19"/>
      <c r="N228" s="19"/>
      <c r="O228" s="18" t="str">
        <f aca="false">IF(F228="","",IFERROR(INDEX(Parts!$C$6:$C$45,MATCH(F228,Parts!$A$6:$A$45,0)),""))</f>
        <v/>
      </c>
      <c r="P228" s="18" t="str">
        <f aca="false">IF(F228="","",IFERROR(INDEX(Parts!$E$6:$E$45,MATCH(F228,Parts!$A$6:$A$45,0)),""))</f>
        <v/>
      </c>
      <c r="Q228" s="23" t="str">
        <f aca="false">IF(OR(J228="",P228="",P228=0),"",J228/P228+IF(OR(N228="",K228=""),0,IFERROR(N228/INDEX(Parts!$E$6:$E$45,MATCH(K228,Parts!$A$6:$A$45,0)),0)))</f>
        <v/>
      </c>
      <c r="R228" s="24" t="str">
        <f aca="false">IF(B228="","",IF(J228="",0,J228*IFERROR(INDEX(Parts!$F$6:$F$45,MATCH(F228,Parts!$A$6:$A$45,0)),0))+IF(N228="",0,N228*IFERROR(INDEX(Parts!$F$6:$F$45,MATCH(K228,Parts!$A$6:$A$45,0)),0)))</f>
        <v/>
      </c>
      <c r="S228" s="19"/>
      <c r="T228" s="19"/>
      <c r="U228" s="18" t="str">
        <f aca="false">IF(B228="","",IF(F228="",Settings!$B$9,IFERROR(INDEX(Parts!$H$6:$H$45,MATCH(F228,Parts!$A$6:$A$45,0))+0,Settings!$B$9)))</f>
        <v/>
      </c>
      <c r="V228" s="22" t="str">
        <f aca="false">IF(B228="","",IF(INDEX($E$7:$E$336,ROW()-6+Settings!$B$7)&lt;&gt;"",INDEX($E$7:$E$336,ROW()-6+Settings!$B$7),E228+Settings!$B$7*D228/1440))</f>
        <v/>
      </c>
      <c r="W228" s="22" t="str">
        <f aca="false">IF(B228="","",IF(INDEX($E$7:$E$336,ROW()-6+Settings!$B$7+Settings!$B$8)&lt;&gt;"",INDEX($E$7:$E$336,ROW()-6+Settings!$B$7+Settings!$B$8),E228+(Settings!$B$7+Settings!$B$8)*D228/1440)+U228/1440)</f>
        <v/>
      </c>
      <c r="X228" s="18" t="str">
        <f aca="false">IF(B228="","",IF(INDEX($E$7:$E$336,ROW()-6+Settings!$B$7+Settings!$B$8)&lt;&gt;"","line","estimate"))</f>
        <v/>
      </c>
      <c r="Y228" s="25" t="str">
        <f aca="false">IF(B228="","",INT(W228-Settings!$B$6))</f>
        <v/>
      </c>
      <c r="Z228" s="19"/>
      <c r="AA228" s="18" t="str">
        <f aca="false">IF(B228="","",IF(AND(B228&lt;&gt;"Empty",F228=""),"part missing; ","")&amp;IF(AND(F228&lt;&gt;"",J228=""),"pieces missing; ","")&amp;IF(AND(F228&lt;&gt;"",O228=""),"part not on the Parts sheet; ","")&amp;IF(AND(B228="Empty",OR(F228&lt;&gt;"",K228&lt;&gt;"")),"empty tray with parts; ","")&amp;IF(AND(B228="Loaded",K228&lt;&gt;""),"second part: type Mixed; ","")&amp;IF(AND(Q228&lt;&gt;"",N(Q228)&gt;1),"over 100 % of the spec load; ","")&amp;IF(N(R228)&gt;Settings!$B$10,"over the tray maximum (kg); ","")&amp;IF(AND(K228&lt;&gt;"",IFERROR(INDEX(Parts!$C$6:$C$45,MATCH(K228,Parts!$A$6:$A$45,0)),O228)&lt;&gt;O228),"different processes in one tray; ","")&amp;IF(AND(S228&lt;&gt;"",T228=""),"rework reason missing; ",""))</f>
        <v/>
      </c>
    </row>
    <row r="229" customFormat="false" ht="15" hidden="false" customHeight="false" outlineLevel="0" collapsed="false">
      <c r="A229" s="18" t="str">
        <f aca="false">IF(B229="","",COUNTA(B$7:B229))</f>
        <v/>
      </c>
      <c r="B229" s="19"/>
      <c r="C229" s="20"/>
      <c r="D229" s="19" t="str">
        <f aca="false">IF(B229="","",IF(D228="",Report!$B$12,D228))</f>
        <v/>
      </c>
      <c r="E229" s="22" t="str">
        <f aca="false">IF(B229="","",IF(C229&lt;&gt;"",C229,E228+D228/1440+SUMIFS(Holds!$F$7:$F$46,Holds!$B$7:$B$46,"&gt;="&amp;E228,Holds!$B$7:$B$46,"&lt;"&amp;E228+D228/1440)/1440))</f>
        <v/>
      </c>
      <c r="F229" s="19"/>
      <c r="G229" s="19"/>
      <c r="H229" s="19"/>
      <c r="I229" s="19"/>
      <c r="J229" s="19"/>
      <c r="K229" s="19"/>
      <c r="L229" s="19"/>
      <c r="M229" s="19"/>
      <c r="N229" s="19"/>
      <c r="O229" s="18" t="str">
        <f aca="false">IF(F229="","",IFERROR(INDEX(Parts!$C$6:$C$45,MATCH(F229,Parts!$A$6:$A$45,0)),""))</f>
        <v/>
      </c>
      <c r="P229" s="18" t="str">
        <f aca="false">IF(F229="","",IFERROR(INDEX(Parts!$E$6:$E$45,MATCH(F229,Parts!$A$6:$A$45,0)),""))</f>
        <v/>
      </c>
      <c r="Q229" s="23" t="str">
        <f aca="false">IF(OR(J229="",P229="",P229=0),"",J229/P229+IF(OR(N229="",K229=""),0,IFERROR(N229/INDEX(Parts!$E$6:$E$45,MATCH(K229,Parts!$A$6:$A$45,0)),0)))</f>
        <v/>
      </c>
      <c r="R229" s="24" t="str">
        <f aca="false">IF(B229="","",IF(J229="",0,J229*IFERROR(INDEX(Parts!$F$6:$F$45,MATCH(F229,Parts!$A$6:$A$45,0)),0))+IF(N229="",0,N229*IFERROR(INDEX(Parts!$F$6:$F$45,MATCH(K229,Parts!$A$6:$A$45,0)),0)))</f>
        <v/>
      </c>
      <c r="S229" s="19"/>
      <c r="T229" s="19"/>
      <c r="U229" s="18" t="str">
        <f aca="false">IF(B229="","",IF(F229="",Settings!$B$9,IFERROR(INDEX(Parts!$H$6:$H$45,MATCH(F229,Parts!$A$6:$A$45,0))+0,Settings!$B$9)))</f>
        <v/>
      </c>
      <c r="V229" s="22" t="str">
        <f aca="false">IF(B229="","",IF(INDEX($E$7:$E$336,ROW()-6+Settings!$B$7)&lt;&gt;"",INDEX($E$7:$E$336,ROW()-6+Settings!$B$7),E229+Settings!$B$7*D229/1440))</f>
        <v/>
      </c>
      <c r="W229" s="22" t="str">
        <f aca="false">IF(B229="","",IF(INDEX($E$7:$E$336,ROW()-6+Settings!$B$7+Settings!$B$8)&lt;&gt;"",INDEX($E$7:$E$336,ROW()-6+Settings!$B$7+Settings!$B$8),E229+(Settings!$B$7+Settings!$B$8)*D229/1440)+U229/1440)</f>
        <v/>
      </c>
      <c r="X229" s="18" t="str">
        <f aca="false">IF(B229="","",IF(INDEX($E$7:$E$336,ROW()-6+Settings!$B$7+Settings!$B$8)&lt;&gt;"","line","estimate"))</f>
        <v/>
      </c>
      <c r="Y229" s="25" t="str">
        <f aca="false">IF(B229="","",INT(W229-Settings!$B$6))</f>
        <v/>
      </c>
      <c r="Z229" s="19"/>
      <c r="AA229" s="18" t="str">
        <f aca="false">IF(B229="","",IF(AND(B229&lt;&gt;"Empty",F229=""),"part missing; ","")&amp;IF(AND(F229&lt;&gt;"",J229=""),"pieces missing; ","")&amp;IF(AND(F229&lt;&gt;"",O229=""),"part not on the Parts sheet; ","")&amp;IF(AND(B229="Empty",OR(F229&lt;&gt;"",K229&lt;&gt;"")),"empty tray with parts; ","")&amp;IF(AND(B229="Loaded",K229&lt;&gt;""),"second part: type Mixed; ","")&amp;IF(AND(Q229&lt;&gt;"",N(Q229)&gt;1),"over 100 % of the spec load; ","")&amp;IF(N(R229)&gt;Settings!$B$10,"over the tray maximum (kg); ","")&amp;IF(AND(K229&lt;&gt;"",IFERROR(INDEX(Parts!$C$6:$C$45,MATCH(K229,Parts!$A$6:$A$45,0)),O229)&lt;&gt;O229),"different processes in one tray; ","")&amp;IF(AND(S229&lt;&gt;"",T229=""),"rework reason missing; ",""))</f>
        <v/>
      </c>
    </row>
    <row r="230" customFormat="false" ht="15" hidden="false" customHeight="false" outlineLevel="0" collapsed="false">
      <c r="A230" s="18" t="str">
        <f aca="false">IF(B230="","",COUNTA(B$7:B230))</f>
        <v/>
      </c>
      <c r="B230" s="19"/>
      <c r="C230" s="20"/>
      <c r="D230" s="19" t="str">
        <f aca="false">IF(B230="","",IF(D229="",Report!$B$12,D229))</f>
        <v/>
      </c>
      <c r="E230" s="22" t="str">
        <f aca="false">IF(B230="","",IF(C230&lt;&gt;"",C230,E229+D229/1440+SUMIFS(Holds!$F$7:$F$46,Holds!$B$7:$B$46,"&gt;="&amp;E229,Holds!$B$7:$B$46,"&lt;"&amp;E229+D229/1440)/1440))</f>
        <v/>
      </c>
      <c r="F230" s="19"/>
      <c r="G230" s="19"/>
      <c r="H230" s="19"/>
      <c r="I230" s="19"/>
      <c r="J230" s="19"/>
      <c r="K230" s="19"/>
      <c r="L230" s="19"/>
      <c r="M230" s="19"/>
      <c r="N230" s="19"/>
      <c r="O230" s="18" t="str">
        <f aca="false">IF(F230="","",IFERROR(INDEX(Parts!$C$6:$C$45,MATCH(F230,Parts!$A$6:$A$45,0)),""))</f>
        <v/>
      </c>
      <c r="P230" s="18" t="str">
        <f aca="false">IF(F230="","",IFERROR(INDEX(Parts!$E$6:$E$45,MATCH(F230,Parts!$A$6:$A$45,0)),""))</f>
        <v/>
      </c>
      <c r="Q230" s="23" t="str">
        <f aca="false">IF(OR(J230="",P230="",P230=0),"",J230/P230+IF(OR(N230="",K230=""),0,IFERROR(N230/INDEX(Parts!$E$6:$E$45,MATCH(K230,Parts!$A$6:$A$45,0)),0)))</f>
        <v/>
      </c>
      <c r="R230" s="24" t="str">
        <f aca="false">IF(B230="","",IF(J230="",0,J230*IFERROR(INDEX(Parts!$F$6:$F$45,MATCH(F230,Parts!$A$6:$A$45,0)),0))+IF(N230="",0,N230*IFERROR(INDEX(Parts!$F$6:$F$45,MATCH(K230,Parts!$A$6:$A$45,0)),0)))</f>
        <v/>
      </c>
      <c r="S230" s="19"/>
      <c r="T230" s="19"/>
      <c r="U230" s="18" t="str">
        <f aca="false">IF(B230="","",IF(F230="",Settings!$B$9,IFERROR(INDEX(Parts!$H$6:$H$45,MATCH(F230,Parts!$A$6:$A$45,0))+0,Settings!$B$9)))</f>
        <v/>
      </c>
      <c r="V230" s="22" t="str">
        <f aca="false">IF(B230="","",IF(INDEX($E$7:$E$336,ROW()-6+Settings!$B$7)&lt;&gt;"",INDEX($E$7:$E$336,ROW()-6+Settings!$B$7),E230+Settings!$B$7*D230/1440))</f>
        <v/>
      </c>
      <c r="W230" s="22" t="str">
        <f aca="false">IF(B230="","",IF(INDEX($E$7:$E$336,ROW()-6+Settings!$B$7+Settings!$B$8)&lt;&gt;"",INDEX($E$7:$E$336,ROW()-6+Settings!$B$7+Settings!$B$8),E230+(Settings!$B$7+Settings!$B$8)*D230/1440)+U230/1440)</f>
        <v/>
      </c>
      <c r="X230" s="18" t="str">
        <f aca="false">IF(B230="","",IF(INDEX($E$7:$E$336,ROW()-6+Settings!$B$7+Settings!$B$8)&lt;&gt;"","line","estimate"))</f>
        <v/>
      </c>
      <c r="Y230" s="25" t="str">
        <f aca="false">IF(B230="","",INT(W230-Settings!$B$6))</f>
        <v/>
      </c>
      <c r="Z230" s="19"/>
      <c r="AA230" s="18" t="str">
        <f aca="false">IF(B230="","",IF(AND(B230&lt;&gt;"Empty",F230=""),"part missing; ","")&amp;IF(AND(F230&lt;&gt;"",J230=""),"pieces missing; ","")&amp;IF(AND(F230&lt;&gt;"",O230=""),"part not on the Parts sheet; ","")&amp;IF(AND(B230="Empty",OR(F230&lt;&gt;"",K230&lt;&gt;"")),"empty tray with parts; ","")&amp;IF(AND(B230="Loaded",K230&lt;&gt;""),"second part: type Mixed; ","")&amp;IF(AND(Q230&lt;&gt;"",N(Q230)&gt;1),"over 100 % of the spec load; ","")&amp;IF(N(R230)&gt;Settings!$B$10,"over the tray maximum (kg); ","")&amp;IF(AND(K230&lt;&gt;"",IFERROR(INDEX(Parts!$C$6:$C$45,MATCH(K230,Parts!$A$6:$A$45,0)),O230)&lt;&gt;O230),"different processes in one tray; ","")&amp;IF(AND(S230&lt;&gt;"",T230=""),"rework reason missing; ",""))</f>
        <v/>
      </c>
    </row>
    <row r="231" customFormat="false" ht="15" hidden="false" customHeight="false" outlineLevel="0" collapsed="false">
      <c r="A231" s="18" t="str">
        <f aca="false">IF(B231="","",COUNTA(B$7:B231))</f>
        <v/>
      </c>
      <c r="B231" s="19"/>
      <c r="C231" s="20"/>
      <c r="D231" s="19" t="str">
        <f aca="false">IF(B231="","",IF(D230="",Report!$B$12,D230))</f>
        <v/>
      </c>
      <c r="E231" s="22" t="str">
        <f aca="false">IF(B231="","",IF(C231&lt;&gt;"",C231,E230+D230/1440+SUMIFS(Holds!$F$7:$F$46,Holds!$B$7:$B$46,"&gt;="&amp;E230,Holds!$B$7:$B$46,"&lt;"&amp;E230+D230/1440)/1440))</f>
        <v/>
      </c>
      <c r="F231" s="19"/>
      <c r="G231" s="19"/>
      <c r="H231" s="19"/>
      <c r="I231" s="19"/>
      <c r="J231" s="19"/>
      <c r="K231" s="19"/>
      <c r="L231" s="19"/>
      <c r="M231" s="19"/>
      <c r="N231" s="19"/>
      <c r="O231" s="18" t="str">
        <f aca="false">IF(F231="","",IFERROR(INDEX(Parts!$C$6:$C$45,MATCH(F231,Parts!$A$6:$A$45,0)),""))</f>
        <v/>
      </c>
      <c r="P231" s="18" t="str">
        <f aca="false">IF(F231="","",IFERROR(INDEX(Parts!$E$6:$E$45,MATCH(F231,Parts!$A$6:$A$45,0)),""))</f>
        <v/>
      </c>
      <c r="Q231" s="23" t="str">
        <f aca="false">IF(OR(J231="",P231="",P231=0),"",J231/P231+IF(OR(N231="",K231=""),0,IFERROR(N231/INDEX(Parts!$E$6:$E$45,MATCH(K231,Parts!$A$6:$A$45,0)),0)))</f>
        <v/>
      </c>
      <c r="R231" s="24" t="str">
        <f aca="false">IF(B231="","",IF(J231="",0,J231*IFERROR(INDEX(Parts!$F$6:$F$45,MATCH(F231,Parts!$A$6:$A$45,0)),0))+IF(N231="",0,N231*IFERROR(INDEX(Parts!$F$6:$F$45,MATCH(K231,Parts!$A$6:$A$45,0)),0)))</f>
        <v/>
      </c>
      <c r="S231" s="19"/>
      <c r="T231" s="19"/>
      <c r="U231" s="18" t="str">
        <f aca="false">IF(B231="","",IF(F231="",Settings!$B$9,IFERROR(INDEX(Parts!$H$6:$H$45,MATCH(F231,Parts!$A$6:$A$45,0))+0,Settings!$B$9)))</f>
        <v/>
      </c>
      <c r="V231" s="22" t="str">
        <f aca="false">IF(B231="","",IF(INDEX($E$7:$E$336,ROW()-6+Settings!$B$7)&lt;&gt;"",INDEX($E$7:$E$336,ROW()-6+Settings!$B$7),E231+Settings!$B$7*D231/1440))</f>
        <v/>
      </c>
      <c r="W231" s="22" t="str">
        <f aca="false">IF(B231="","",IF(INDEX($E$7:$E$336,ROW()-6+Settings!$B$7+Settings!$B$8)&lt;&gt;"",INDEX($E$7:$E$336,ROW()-6+Settings!$B$7+Settings!$B$8),E231+(Settings!$B$7+Settings!$B$8)*D231/1440)+U231/1440)</f>
        <v/>
      </c>
      <c r="X231" s="18" t="str">
        <f aca="false">IF(B231="","",IF(INDEX($E$7:$E$336,ROW()-6+Settings!$B$7+Settings!$B$8)&lt;&gt;"","line","estimate"))</f>
        <v/>
      </c>
      <c r="Y231" s="25" t="str">
        <f aca="false">IF(B231="","",INT(W231-Settings!$B$6))</f>
        <v/>
      </c>
      <c r="Z231" s="19"/>
      <c r="AA231" s="18" t="str">
        <f aca="false">IF(B231="","",IF(AND(B231&lt;&gt;"Empty",F231=""),"part missing; ","")&amp;IF(AND(F231&lt;&gt;"",J231=""),"pieces missing; ","")&amp;IF(AND(F231&lt;&gt;"",O231=""),"part not on the Parts sheet; ","")&amp;IF(AND(B231="Empty",OR(F231&lt;&gt;"",K231&lt;&gt;"")),"empty tray with parts; ","")&amp;IF(AND(B231="Loaded",K231&lt;&gt;""),"second part: type Mixed; ","")&amp;IF(AND(Q231&lt;&gt;"",N(Q231)&gt;1),"over 100 % of the spec load; ","")&amp;IF(N(R231)&gt;Settings!$B$10,"over the tray maximum (kg); ","")&amp;IF(AND(K231&lt;&gt;"",IFERROR(INDEX(Parts!$C$6:$C$45,MATCH(K231,Parts!$A$6:$A$45,0)),O231)&lt;&gt;O231),"different processes in one tray; ","")&amp;IF(AND(S231&lt;&gt;"",T231=""),"rework reason missing; ",""))</f>
        <v/>
      </c>
    </row>
    <row r="232" customFormat="false" ht="15" hidden="false" customHeight="false" outlineLevel="0" collapsed="false">
      <c r="A232" s="18" t="str">
        <f aca="false">IF(B232="","",COUNTA(B$7:B232))</f>
        <v/>
      </c>
      <c r="B232" s="19"/>
      <c r="C232" s="20"/>
      <c r="D232" s="19" t="str">
        <f aca="false">IF(B232="","",IF(D231="",Report!$B$12,D231))</f>
        <v/>
      </c>
      <c r="E232" s="22" t="str">
        <f aca="false">IF(B232="","",IF(C232&lt;&gt;"",C232,E231+D231/1440+SUMIFS(Holds!$F$7:$F$46,Holds!$B$7:$B$46,"&gt;="&amp;E231,Holds!$B$7:$B$46,"&lt;"&amp;E231+D231/1440)/1440))</f>
        <v/>
      </c>
      <c r="F232" s="19"/>
      <c r="G232" s="19"/>
      <c r="H232" s="19"/>
      <c r="I232" s="19"/>
      <c r="J232" s="19"/>
      <c r="K232" s="19"/>
      <c r="L232" s="19"/>
      <c r="M232" s="19"/>
      <c r="N232" s="19"/>
      <c r="O232" s="18" t="str">
        <f aca="false">IF(F232="","",IFERROR(INDEX(Parts!$C$6:$C$45,MATCH(F232,Parts!$A$6:$A$45,0)),""))</f>
        <v/>
      </c>
      <c r="P232" s="18" t="str">
        <f aca="false">IF(F232="","",IFERROR(INDEX(Parts!$E$6:$E$45,MATCH(F232,Parts!$A$6:$A$45,0)),""))</f>
        <v/>
      </c>
      <c r="Q232" s="23" t="str">
        <f aca="false">IF(OR(J232="",P232="",P232=0),"",J232/P232+IF(OR(N232="",K232=""),0,IFERROR(N232/INDEX(Parts!$E$6:$E$45,MATCH(K232,Parts!$A$6:$A$45,0)),0)))</f>
        <v/>
      </c>
      <c r="R232" s="24" t="str">
        <f aca="false">IF(B232="","",IF(J232="",0,J232*IFERROR(INDEX(Parts!$F$6:$F$45,MATCH(F232,Parts!$A$6:$A$45,0)),0))+IF(N232="",0,N232*IFERROR(INDEX(Parts!$F$6:$F$45,MATCH(K232,Parts!$A$6:$A$45,0)),0)))</f>
        <v/>
      </c>
      <c r="S232" s="19"/>
      <c r="T232" s="19"/>
      <c r="U232" s="18" t="str">
        <f aca="false">IF(B232="","",IF(F232="",Settings!$B$9,IFERROR(INDEX(Parts!$H$6:$H$45,MATCH(F232,Parts!$A$6:$A$45,0))+0,Settings!$B$9)))</f>
        <v/>
      </c>
      <c r="V232" s="22" t="str">
        <f aca="false">IF(B232="","",IF(INDEX($E$7:$E$336,ROW()-6+Settings!$B$7)&lt;&gt;"",INDEX($E$7:$E$336,ROW()-6+Settings!$B$7),E232+Settings!$B$7*D232/1440))</f>
        <v/>
      </c>
      <c r="W232" s="22" t="str">
        <f aca="false">IF(B232="","",IF(INDEX($E$7:$E$336,ROW()-6+Settings!$B$7+Settings!$B$8)&lt;&gt;"",INDEX($E$7:$E$336,ROW()-6+Settings!$B$7+Settings!$B$8),E232+(Settings!$B$7+Settings!$B$8)*D232/1440)+U232/1440)</f>
        <v/>
      </c>
      <c r="X232" s="18" t="str">
        <f aca="false">IF(B232="","",IF(INDEX($E$7:$E$336,ROW()-6+Settings!$B$7+Settings!$B$8)&lt;&gt;"","line","estimate"))</f>
        <v/>
      </c>
      <c r="Y232" s="25" t="str">
        <f aca="false">IF(B232="","",INT(W232-Settings!$B$6))</f>
        <v/>
      </c>
      <c r="Z232" s="19"/>
      <c r="AA232" s="18" t="str">
        <f aca="false">IF(B232="","",IF(AND(B232&lt;&gt;"Empty",F232=""),"part missing; ","")&amp;IF(AND(F232&lt;&gt;"",J232=""),"pieces missing; ","")&amp;IF(AND(F232&lt;&gt;"",O232=""),"part not on the Parts sheet; ","")&amp;IF(AND(B232="Empty",OR(F232&lt;&gt;"",K232&lt;&gt;"")),"empty tray with parts; ","")&amp;IF(AND(B232="Loaded",K232&lt;&gt;""),"second part: type Mixed; ","")&amp;IF(AND(Q232&lt;&gt;"",N(Q232)&gt;1),"over 100 % of the spec load; ","")&amp;IF(N(R232)&gt;Settings!$B$10,"over the tray maximum (kg); ","")&amp;IF(AND(K232&lt;&gt;"",IFERROR(INDEX(Parts!$C$6:$C$45,MATCH(K232,Parts!$A$6:$A$45,0)),O232)&lt;&gt;O232),"different processes in one tray; ","")&amp;IF(AND(S232&lt;&gt;"",T232=""),"rework reason missing; ",""))</f>
        <v/>
      </c>
    </row>
    <row r="233" customFormat="false" ht="15" hidden="false" customHeight="false" outlineLevel="0" collapsed="false">
      <c r="A233" s="18" t="str">
        <f aca="false">IF(B233="","",COUNTA(B$7:B233))</f>
        <v/>
      </c>
      <c r="B233" s="19"/>
      <c r="C233" s="20"/>
      <c r="D233" s="19" t="str">
        <f aca="false">IF(B233="","",IF(D232="",Report!$B$12,D232))</f>
        <v/>
      </c>
      <c r="E233" s="22" t="str">
        <f aca="false">IF(B233="","",IF(C233&lt;&gt;"",C233,E232+D232/1440+SUMIFS(Holds!$F$7:$F$46,Holds!$B$7:$B$46,"&gt;="&amp;E232,Holds!$B$7:$B$46,"&lt;"&amp;E232+D232/1440)/1440))</f>
        <v/>
      </c>
      <c r="F233" s="19"/>
      <c r="G233" s="19"/>
      <c r="H233" s="19"/>
      <c r="I233" s="19"/>
      <c r="J233" s="19"/>
      <c r="K233" s="19"/>
      <c r="L233" s="19"/>
      <c r="M233" s="19"/>
      <c r="N233" s="19"/>
      <c r="O233" s="18" t="str">
        <f aca="false">IF(F233="","",IFERROR(INDEX(Parts!$C$6:$C$45,MATCH(F233,Parts!$A$6:$A$45,0)),""))</f>
        <v/>
      </c>
      <c r="P233" s="18" t="str">
        <f aca="false">IF(F233="","",IFERROR(INDEX(Parts!$E$6:$E$45,MATCH(F233,Parts!$A$6:$A$45,0)),""))</f>
        <v/>
      </c>
      <c r="Q233" s="23" t="str">
        <f aca="false">IF(OR(J233="",P233="",P233=0),"",J233/P233+IF(OR(N233="",K233=""),0,IFERROR(N233/INDEX(Parts!$E$6:$E$45,MATCH(K233,Parts!$A$6:$A$45,0)),0)))</f>
        <v/>
      </c>
      <c r="R233" s="24" t="str">
        <f aca="false">IF(B233="","",IF(J233="",0,J233*IFERROR(INDEX(Parts!$F$6:$F$45,MATCH(F233,Parts!$A$6:$A$45,0)),0))+IF(N233="",0,N233*IFERROR(INDEX(Parts!$F$6:$F$45,MATCH(K233,Parts!$A$6:$A$45,0)),0)))</f>
        <v/>
      </c>
      <c r="S233" s="19"/>
      <c r="T233" s="19"/>
      <c r="U233" s="18" t="str">
        <f aca="false">IF(B233="","",IF(F233="",Settings!$B$9,IFERROR(INDEX(Parts!$H$6:$H$45,MATCH(F233,Parts!$A$6:$A$45,0))+0,Settings!$B$9)))</f>
        <v/>
      </c>
      <c r="V233" s="22" t="str">
        <f aca="false">IF(B233="","",IF(INDEX($E$7:$E$336,ROW()-6+Settings!$B$7)&lt;&gt;"",INDEX($E$7:$E$336,ROW()-6+Settings!$B$7),E233+Settings!$B$7*D233/1440))</f>
        <v/>
      </c>
      <c r="W233" s="22" t="str">
        <f aca="false">IF(B233="","",IF(INDEX($E$7:$E$336,ROW()-6+Settings!$B$7+Settings!$B$8)&lt;&gt;"",INDEX($E$7:$E$336,ROW()-6+Settings!$B$7+Settings!$B$8),E233+(Settings!$B$7+Settings!$B$8)*D233/1440)+U233/1440)</f>
        <v/>
      </c>
      <c r="X233" s="18" t="str">
        <f aca="false">IF(B233="","",IF(INDEX($E$7:$E$336,ROW()-6+Settings!$B$7+Settings!$B$8)&lt;&gt;"","line","estimate"))</f>
        <v/>
      </c>
      <c r="Y233" s="25" t="str">
        <f aca="false">IF(B233="","",INT(W233-Settings!$B$6))</f>
        <v/>
      </c>
      <c r="Z233" s="19"/>
      <c r="AA233" s="18" t="str">
        <f aca="false">IF(B233="","",IF(AND(B233&lt;&gt;"Empty",F233=""),"part missing; ","")&amp;IF(AND(F233&lt;&gt;"",J233=""),"pieces missing; ","")&amp;IF(AND(F233&lt;&gt;"",O233=""),"part not on the Parts sheet; ","")&amp;IF(AND(B233="Empty",OR(F233&lt;&gt;"",K233&lt;&gt;"")),"empty tray with parts; ","")&amp;IF(AND(B233="Loaded",K233&lt;&gt;""),"second part: type Mixed; ","")&amp;IF(AND(Q233&lt;&gt;"",N(Q233)&gt;1),"over 100 % of the spec load; ","")&amp;IF(N(R233)&gt;Settings!$B$10,"over the tray maximum (kg); ","")&amp;IF(AND(K233&lt;&gt;"",IFERROR(INDEX(Parts!$C$6:$C$45,MATCH(K233,Parts!$A$6:$A$45,0)),O233)&lt;&gt;O233),"different processes in one tray; ","")&amp;IF(AND(S233&lt;&gt;"",T233=""),"rework reason missing; ",""))</f>
        <v/>
      </c>
    </row>
    <row r="234" customFormat="false" ht="15" hidden="false" customHeight="false" outlineLevel="0" collapsed="false">
      <c r="A234" s="18" t="str">
        <f aca="false">IF(B234="","",COUNTA(B$7:B234))</f>
        <v/>
      </c>
      <c r="B234" s="19"/>
      <c r="C234" s="20"/>
      <c r="D234" s="19" t="str">
        <f aca="false">IF(B234="","",IF(D233="",Report!$B$12,D233))</f>
        <v/>
      </c>
      <c r="E234" s="22" t="str">
        <f aca="false">IF(B234="","",IF(C234&lt;&gt;"",C234,E233+D233/1440+SUMIFS(Holds!$F$7:$F$46,Holds!$B$7:$B$46,"&gt;="&amp;E233,Holds!$B$7:$B$46,"&lt;"&amp;E233+D233/1440)/1440))</f>
        <v/>
      </c>
      <c r="F234" s="19"/>
      <c r="G234" s="19"/>
      <c r="H234" s="19"/>
      <c r="I234" s="19"/>
      <c r="J234" s="19"/>
      <c r="K234" s="19"/>
      <c r="L234" s="19"/>
      <c r="M234" s="19"/>
      <c r="N234" s="19"/>
      <c r="O234" s="18" t="str">
        <f aca="false">IF(F234="","",IFERROR(INDEX(Parts!$C$6:$C$45,MATCH(F234,Parts!$A$6:$A$45,0)),""))</f>
        <v/>
      </c>
      <c r="P234" s="18" t="str">
        <f aca="false">IF(F234="","",IFERROR(INDEX(Parts!$E$6:$E$45,MATCH(F234,Parts!$A$6:$A$45,0)),""))</f>
        <v/>
      </c>
      <c r="Q234" s="23" t="str">
        <f aca="false">IF(OR(J234="",P234="",P234=0),"",J234/P234+IF(OR(N234="",K234=""),0,IFERROR(N234/INDEX(Parts!$E$6:$E$45,MATCH(K234,Parts!$A$6:$A$45,0)),0)))</f>
        <v/>
      </c>
      <c r="R234" s="24" t="str">
        <f aca="false">IF(B234="","",IF(J234="",0,J234*IFERROR(INDEX(Parts!$F$6:$F$45,MATCH(F234,Parts!$A$6:$A$45,0)),0))+IF(N234="",0,N234*IFERROR(INDEX(Parts!$F$6:$F$45,MATCH(K234,Parts!$A$6:$A$45,0)),0)))</f>
        <v/>
      </c>
      <c r="S234" s="19"/>
      <c r="T234" s="19"/>
      <c r="U234" s="18" t="str">
        <f aca="false">IF(B234="","",IF(F234="",Settings!$B$9,IFERROR(INDEX(Parts!$H$6:$H$45,MATCH(F234,Parts!$A$6:$A$45,0))+0,Settings!$B$9)))</f>
        <v/>
      </c>
      <c r="V234" s="22" t="str">
        <f aca="false">IF(B234="","",IF(INDEX($E$7:$E$336,ROW()-6+Settings!$B$7)&lt;&gt;"",INDEX($E$7:$E$336,ROW()-6+Settings!$B$7),E234+Settings!$B$7*D234/1440))</f>
        <v/>
      </c>
      <c r="W234" s="22" t="str">
        <f aca="false">IF(B234="","",IF(INDEX($E$7:$E$336,ROW()-6+Settings!$B$7+Settings!$B$8)&lt;&gt;"",INDEX($E$7:$E$336,ROW()-6+Settings!$B$7+Settings!$B$8),E234+(Settings!$B$7+Settings!$B$8)*D234/1440)+U234/1440)</f>
        <v/>
      </c>
      <c r="X234" s="18" t="str">
        <f aca="false">IF(B234="","",IF(INDEX($E$7:$E$336,ROW()-6+Settings!$B$7+Settings!$B$8)&lt;&gt;"","line","estimate"))</f>
        <v/>
      </c>
      <c r="Y234" s="25" t="str">
        <f aca="false">IF(B234="","",INT(W234-Settings!$B$6))</f>
        <v/>
      </c>
      <c r="Z234" s="19"/>
      <c r="AA234" s="18" t="str">
        <f aca="false">IF(B234="","",IF(AND(B234&lt;&gt;"Empty",F234=""),"part missing; ","")&amp;IF(AND(F234&lt;&gt;"",J234=""),"pieces missing; ","")&amp;IF(AND(F234&lt;&gt;"",O234=""),"part not on the Parts sheet; ","")&amp;IF(AND(B234="Empty",OR(F234&lt;&gt;"",K234&lt;&gt;"")),"empty tray with parts; ","")&amp;IF(AND(B234="Loaded",K234&lt;&gt;""),"second part: type Mixed; ","")&amp;IF(AND(Q234&lt;&gt;"",N(Q234)&gt;1),"over 100 % of the spec load; ","")&amp;IF(N(R234)&gt;Settings!$B$10,"over the tray maximum (kg); ","")&amp;IF(AND(K234&lt;&gt;"",IFERROR(INDEX(Parts!$C$6:$C$45,MATCH(K234,Parts!$A$6:$A$45,0)),O234)&lt;&gt;O234),"different processes in one tray; ","")&amp;IF(AND(S234&lt;&gt;"",T234=""),"rework reason missing; ",""))</f>
        <v/>
      </c>
    </row>
    <row r="235" customFormat="false" ht="15" hidden="false" customHeight="false" outlineLevel="0" collapsed="false">
      <c r="A235" s="18" t="str">
        <f aca="false">IF(B235="","",COUNTA(B$7:B235))</f>
        <v/>
      </c>
      <c r="B235" s="19"/>
      <c r="C235" s="20"/>
      <c r="D235" s="19" t="str">
        <f aca="false">IF(B235="","",IF(D234="",Report!$B$12,D234))</f>
        <v/>
      </c>
      <c r="E235" s="22" t="str">
        <f aca="false">IF(B235="","",IF(C235&lt;&gt;"",C235,E234+D234/1440+SUMIFS(Holds!$F$7:$F$46,Holds!$B$7:$B$46,"&gt;="&amp;E234,Holds!$B$7:$B$46,"&lt;"&amp;E234+D234/1440)/1440))</f>
        <v/>
      </c>
      <c r="F235" s="19"/>
      <c r="G235" s="19"/>
      <c r="H235" s="19"/>
      <c r="I235" s="19"/>
      <c r="J235" s="19"/>
      <c r="K235" s="19"/>
      <c r="L235" s="19"/>
      <c r="M235" s="19"/>
      <c r="N235" s="19"/>
      <c r="O235" s="18" t="str">
        <f aca="false">IF(F235="","",IFERROR(INDEX(Parts!$C$6:$C$45,MATCH(F235,Parts!$A$6:$A$45,0)),""))</f>
        <v/>
      </c>
      <c r="P235" s="18" t="str">
        <f aca="false">IF(F235="","",IFERROR(INDEX(Parts!$E$6:$E$45,MATCH(F235,Parts!$A$6:$A$45,0)),""))</f>
        <v/>
      </c>
      <c r="Q235" s="23" t="str">
        <f aca="false">IF(OR(J235="",P235="",P235=0),"",J235/P235+IF(OR(N235="",K235=""),0,IFERROR(N235/INDEX(Parts!$E$6:$E$45,MATCH(K235,Parts!$A$6:$A$45,0)),0)))</f>
        <v/>
      </c>
      <c r="R235" s="24" t="str">
        <f aca="false">IF(B235="","",IF(J235="",0,J235*IFERROR(INDEX(Parts!$F$6:$F$45,MATCH(F235,Parts!$A$6:$A$45,0)),0))+IF(N235="",0,N235*IFERROR(INDEX(Parts!$F$6:$F$45,MATCH(K235,Parts!$A$6:$A$45,0)),0)))</f>
        <v/>
      </c>
      <c r="S235" s="19"/>
      <c r="T235" s="19"/>
      <c r="U235" s="18" t="str">
        <f aca="false">IF(B235="","",IF(F235="",Settings!$B$9,IFERROR(INDEX(Parts!$H$6:$H$45,MATCH(F235,Parts!$A$6:$A$45,0))+0,Settings!$B$9)))</f>
        <v/>
      </c>
      <c r="V235" s="22" t="str">
        <f aca="false">IF(B235="","",IF(INDEX($E$7:$E$336,ROW()-6+Settings!$B$7)&lt;&gt;"",INDEX($E$7:$E$336,ROW()-6+Settings!$B$7),E235+Settings!$B$7*D235/1440))</f>
        <v/>
      </c>
      <c r="W235" s="22" t="str">
        <f aca="false">IF(B235="","",IF(INDEX($E$7:$E$336,ROW()-6+Settings!$B$7+Settings!$B$8)&lt;&gt;"",INDEX($E$7:$E$336,ROW()-6+Settings!$B$7+Settings!$B$8),E235+(Settings!$B$7+Settings!$B$8)*D235/1440)+U235/1440)</f>
        <v/>
      </c>
      <c r="X235" s="18" t="str">
        <f aca="false">IF(B235="","",IF(INDEX($E$7:$E$336,ROW()-6+Settings!$B$7+Settings!$B$8)&lt;&gt;"","line","estimate"))</f>
        <v/>
      </c>
      <c r="Y235" s="25" t="str">
        <f aca="false">IF(B235="","",INT(W235-Settings!$B$6))</f>
        <v/>
      </c>
      <c r="Z235" s="19"/>
      <c r="AA235" s="18" t="str">
        <f aca="false">IF(B235="","",IF(AND(B235&lt;&gt;"Empty",F235=""),"part missing; ","")&amp;IF(AND(F235&lt;&gt;"",J235=""),"pieces missing; ","")&amp;IF(AND(F235&lt;&gt;"",O235=""),"part not on the Parts sheet; ","")&amp;IF(AND(B235="Empty",OR(F235&lt;&gt;"",K235&lt;&gt;"")),"empty tray with parts; ","")&amp;IF(AND(B235="Loaded",K235&lt;&gt;""),"second part: type Mixed; ","")&amp;IF(AND(Q235&lt;&gt;"",N(Q235)&gt;1),"over 100 % of the spec load; ","")&amp;IF(N(R235)&gt;Settings!$B$10,"over the tray maximum (kg); ","")&amp;IF(AND(K235&lt;&gt;"",IFERROR(INDEX(Parts!$C$6:$C$45,MATCH(K235,Parts!$A$6:$A$45,0)),O235)&lt;&gt;O235),"different processes in one tray; ","")&amp;IF(AND(S235&lt;&gt;"",T235=""),"rework reason missing; ",""))</f>
        <v/>
      </c>
    </row>
    <row r="236" customFormat="false" ht="15" hidden="false" customHeight="false" outlineLevel="0" collapsed="false">
      <c r="A236" s="18" t="str">
        <f aca="false">IF(B236="","",COUNTA(B$7:B236))</f>
        <v/>
      </c>
      <c r="B236" s="19"/>
      <c r="C236" s="20"/>
      <c r="D236" s="19" t="str">
        <f aca="false">IF(B236="","",IF(D235="",Report!$B$12,D235))</f>
        <v/>
      </c>
      <c r="E236" s="22" t="str">
        <f aca="false">IF(B236="","",IF(C236&lt;&gt;"",C236,E235+D235/1440+SUMIFS(Holds!$F$7:$F$46,Holds!$B$7:$B$46,"&gt;="&amp;E235,Holds!$B$7:$B$46,"&lt;"&amp;E235+D235/1440)/1440))</f>
        <v/>
      </c>
      <c r="F236" s="19"/>
      <c r="G236" s="19"/>
      <c r="H236" s="19"/>
      <c r="I236" s="19"/>
      <c r="J236" s="19"/>
      <c r="K236" s="19"/>
      <c r="L236" s="19"/>
      <c r="M236" s="19"/>
      <c r="N236" s="19"/>
      <c r="O236" s="18" t="str">
        <f aca="false">IF(F236="","",IFERROR(INDEX(Parts!$C$6:$C$45,MATCH(F236,Parts!$A$6:$A$45,0)),""))</f>
        <v/>
      </c>
      <c r="P236" s="18" t="str">
        <f aca="false">IF(F236="","",IFERROR(INDEX(Parts!$E$6:$E$45,MATCH(F236,Parts!$A$6:$A$45,0)),""))</f>
        <v/>
      </c>
      <c r="Q236" s="23" t="str">
        <f aca="false">IF(OR(J236="",P236="",P236=0),"",J236/P236+IF(OR(N236="",K236=""),0,IFERROR(N236/INDEX(Parts!$E$6:$E$45,MATCH(K236,Parts!$A$6:$A$45,0)),0)))</f>
        <v/>
      </c>
      <c r="R236" s="24" t="str">
        <f aca="false">IF(B236="","",IF(J236="",0,J236*IFERROR(INDEX(Parts!$F$6:$F$45,MATCH(F236,Parts!$A$6:$A$45,0)),0))+IF(N236="",0,N236*IFERROR(INDEX(Parts!$F$6:$F$45,MATCH(K236,Parts!$A$6:$A$45,0)),0)))</f>
        <v/>
      </c>
      <c r="S236" s="19"/>
      <c r="T236" s="19"/>
      <c r="U236" s="18" t="str">
        <f aca="false">IF(B236="","",IF(F236="",Settings!$B$9,IFERROR(INDEX(Parts!$H$6:$H$45,MATCH(F236,Parts!$A$6:$A$45,0))+0,Settings!$B$9)))</f>
        <v/>
      </c>
      <c r="V236" s="22" t="str">
        <f aca="false">IF(B236="","",IF(INDEX($E$7:$E$336,ROW()-6+Settings!$B$7)&lt;&gt;"",INDEX($E$7:$E$336,ROW()-6+Settings!$B$7),E236+Settings!$B$7*D236/1440))</f>
        <v/>
      </c>
      <c r="W236" s="22" t="str">
        <f aca="false">IF(B236="","",IF(INDEX($E$7:$E$336,ROW()-6+Settings!$B$7+Settings!$B$8)&lt;&gt;"",INDEX($E$7:$E$336,ROW()-6+Settings!$B$7+Settings!$B$8),E236+(Settings!$B$7+Settings!$B$8)*D236/1440)+U236/1440)</f>
        <v/>
      </c>
      <c r="X236" s="18" t="str">
        <f aca="false">IF(B236="","",IF(INDEX($E$7:$E$336,ROW()-6+Settings!$B$7+Settings!$B$8)&lt;&gt;"","line","estimate"))</f>
        <v/>
      </c>
      <c r="Y236" s="25" t="str">
        <f aca="false">IF(B236="","",INT(W236-Settings!$B$6))</f>
        <v/>
      </c>
      <c r="Z236" s="19"/>
      <c r="AA236" s="18" t="str">
        <f aca="false">IF(B236="","",IF(AND(B236&lt;&gt;"Empty",F236=""),"part missing; ","")&amp;IF(AND(F236&lt;&gt;"",J236=""),"pieces missing; ","")&amp;IF(AND(F236&lt;&gt;"",O236=""),"part not on the Parts sheet; ","")&amp;IF(AND(B236="Empty",OR(F236&lt;&gt;"",K236&lt;&gt;"")),"empty tray with parts; ","")&amp;IF(AND(B236="Loaded",K236&lt;&gt;""),"second part: type Mixed; ","")&amp;IF(AND(Q236&lt;&gt;"",N(Q236)&gt;1),"over 100 % of the spec load; ","")&amp;IF(N(R236)&gt;Settings!$B$10,"over the tray maximum (kg); ","")&amp;IF(AND(K236&lt;&gt;"",IFERROR(INDEX(Parts!$C$6:$C$45,MATCH(K236,Parts!$A$6:$A$45,0)),O236)&lt;&gt;O236),"different processes in one tray; ","")&amp;IF(AND(S236&lt;&gt;"",T236=""),"rework reason missing; ",""))</f>
        <v/>
      </c>
    </row>
    <row r="237" customFormat="false" ht="15" hidden="false" customHeight="false" outlineLevel="0" collapsed="false">
      <c r="A237" s="18" t="str">
        <f aca="false">IF(B237="","",COUNTA(B$7:B237))</f>
        <v/>
      </c>
      <c r="B237" s="19"/>
      <c r="C237" s="20"/>
      <c r="D237" s="19" t="str">
        <f aca="false">IF(B237="","",IF(D236="",Report!$B$12,D236))</f>
        <v/>
      </c>
      <c r="E237" s="22" t="str">
        <f aca="false">IF(B237="","",IF(C237&lt;&gt;"",C237,E236+D236/1440+SUMIFS(Holds!$F$7:$F$46,Holds!$B$7:$B$46,"&gt;="&amp;E236,Holds!$B$7:$B$46,"&lt;"&amp;E236+D236/1440)/1440))</f>
        <v/>
      </c>
      <c r="F237" s="19"/>
      <c r="G237" s="19"/>
      <c r="H237" s="19"/>
      <c r="I237" s="19"/>
      <c r="J237" s="19"/>
      <c r="K237" s="19"/>
      <c r="L237" s="19"/>
      <c r="M237" s="19"/>
      <c r="N237" s="19"/>
      <c r="O237" s="18" t="str">
        <f aca="false">IF(F237="","",IFERROR(INDEX(Parts!$C$6:$C$45,MATCH(F237,Parts!$A$6:$A$45,0)),""))</f>
        <v/>
      </c>
      <c r="P237" s="18" t="str">
        <f aca="false">IF(F237="","",IFERROR(INDEX(Parts!$E$6:$E$45,MATCH(F237,Parts!$A$6:$A$45,0)),""))</f>
        <v/>
      </c>
      <c r="Q237" s="23" t="str">
        <f aca="false">IF(OR(J237="",P237="",P237=0),"",J237/P237+IF(OR(N237="",K237=""),0,IFERROR(N237/INDEX(Parts!$E$6:$E$45,MATCH(K237,Parts!$A$6:$A$45,0)),0)))</f>
        <v/>
      </c>
      <c r="R237" s="24" t="str">
        <f aca="false">IF(B237="","",IF(J237="",0,J237*IFERROR(INDEX(Parts!$F$6:$F$45,MATCH(F237,Parts!$A$6:$A$45,0)),0))+IF(N237="",0,N237*IFERROR(INDEX(Parts!$F$6:$F$45,MATCH(K237,Parts!$A$6:$A$45,0)),0)))</f>
        <v/>
      </c>
      <c r="S237" s="19"/>
      <c r="T237" s="19"/>
      <c r="U237" s="18" t="str">
        <f aca="false">IF(B237="","",IF(F237="",Settings!$B$9,IFERROR(INDEX(Parts!$H$6:$H$45,MATCH(F237,Parts!$A$6:$A$45,0))+0,Settings!$B$9)))</f>
        <v/>
      </c>
      <c r="V237" s="22" t="str">
        <f aca="false">IF(B237="","",IF(INDEX($E$7:$E$336,ROW()-6+Settings!$B$7)&lt;&gt;"",INDEX($E$7:$E$336,ROW()-6+Settings!$B$7),E237+Settings!$B$7*D237/1440))</f>
        <v/>
      </c>
      <c r="W237" s="22" t="str">
        <f aca="false">IF(B237="","",IF(INDEX($E$7:$E$336,ROW()-6+Settings!$B$7+Settings!$B$8)&lt;&gt;"",INDEX($E$7:$E$336,ROW()-6+Settings!$B$7+Settings!$B$8),E237+(Settings!$B$7+Settings!$B$8)*D237/1440)+U237/1440)</f>
        <v/>
      </c>
      <c r="X237" s="18" t="str">
        <f aca="false">IF(B237="","",IF(INDEX($E$7:$E$336,ROW()-6+Settings!$B$7+Settings!$B$8)&lt;&gt;"","line","estimate"))</f>
        <v/>
      </c>
      <c r="Y237" s="25" t="str">
        <f aca="false">IF(B237="","",INT(W237-Settings!$B$6))</f>
        <v/>
      </c>
      <c r="Z237" s="19"/>
      <c r="AA237" s="18" t="str">
        <f aca="false">IF(B237="","",IF(AND(B237&lt;&gt;"Empty",F237=""),"part missing; ","")&amp;IF(AND(F237&lt;&gt;"",J237=""),"pieces missing; ","")&amp;IF(AND(F237&lt;&gt;"",O237=""),"part not on the Parts sheet; ","")&amp;IF(AND(B237="Empty",OR(F237&lt;&gt;"",K237&lt;&gt;"")),"empty tray with parts; ","")&amp;IF(AND(B237="Loaded",K237&lt;&gt;""),"second part: type Mixed; ","")&amp;IF(AND(Q237&lt;&gt;"",N(Q237)&gt;1),"over 100 % of the spec load; ","")&amp;IF(N(R237)&gt;Settings!$B$10,"over the tray maximum (kg); ","")&amp;IF(AND(K237&lt;&gt;"",IFERROR(INDEX(Parts!$C$6:$C$45,MATCH(K237,Parts!$A$6:$A$45,0)),O237)&lt;&gt;O237),"different processes in one tray; ","")&amp;IF(AND(S237&lt;&gt;"",T237=""),"rework reason missing; ",""))</f>
        <v/>
      </c>
    </row>
    <row r="238" customFormat="false" ht="15" hidden="false" customHeight="false" outlineLevel="0" collapsed="false">
      <c r="A238" s="18" t="str">
        <f aca="false">IF(B238="","",COUNTA(B$7:B238))</f>
        <v/>
      </c>
      <c r="B238" s="19"/>
      <c r="C238" s="20"/>
      <c r="D238" s="19" t="str">
        <f aca="false">IF(B238="","",IF(D237="",Report!$B$12,D237))</f>
        <v/>
      </c>
      <c r="E238" s="22" t="str">
        <f aca="false">IF(B238="","",IF(C238&lt;&gt;"",C238,E237+D237/1440+SUMIFS(Holds!$F$7:$F$46,Holds!$B$7:$B$46,"&gt;="&amp;E237,Holds!$B$7:$B$46,"&lt;"&amp;E237+D237/1440)/1440))</f>
        <v/>
      </c>
      <c r="F238" s="19"/>
      <c r="G238" s="19"/>
      <c r="H238" s="19"/>
      <c r="I238" s="19"/>
      <c r="J238" s="19"/>
      <c r="K238" s="19"/>
      <c r="L238" s="19"/>
      <c r="M238" s="19"/>
      <c r="N238" s="19"/>
      <c r="O238" s="18" t="str">
        <f aca="false">IF(F238="","",IFERROR(INDEX(Parts!$C$6:$C$45,MATCH(F238,Parts!$A$6:$A$45,0)),""))</f>
        <v/>
      </c>
      <c r="P238" s="18" t="str">
        <f aca="false">IF(F238="","",IFERROR(INDEX(Parts!$E$6:$E$45,MATCH(F238,Parts!$A$6:$A$45,0)),""))</f>
        <v/>
      </c>
      <c r="Q238" s="23" t="str">
        <f aca="false">IF(OR(J238="",P238="",P238=0),"",J238/P238+IF(OR(N238="",K238=""),0,IFERROR(N238/INDEX(Parts!$E$6:$E$45,MATCH(K238,Parts!$A$6:$A$45,0)),0)))</f>
        <v/>
      </c>
      <c r="R238" s="24" t="str">
        <f aca="false">IF(B238="","",IF(J238="",0,J238*IFERROR(INDEX(Parts!$F$6:$F$45,MATCH(F238,Parts!$A$6:$A$45,0)),0))+IF(N238="",0,N238*IFERROR(INDEX(Parts!$F$6:$F$45,MATCH(K238,Parts!$A$6:$A$45,0)),0)))</f>
        <v/>
      </c>
      <c r="S238" s="19"/>
      <c r="T238" s="19"/>
      <c r="U238" s="18" t="str">
        <f aca="false">IF(B238="","",IF(F238="",Settings!$B$9,IFERROR(INDEX(Parts!$H$6:$H$45,MATCH(F238,Parts!$A$6:$A$45,0))+0,Settings!$B$9)))</f>
        <v/>
      </c>
      <c r="V238" s="22" t="str">
        <f aca="false">IF(B238="","",IF(INDEX($E$7:$E$336,ROW()-6+Settings!$B$7)&lt;&gt;"",INDEX($E$7:$E$336,ROW()-6+Settings!$B$7),E238+Settings!$B$7*D238/1440))</f>
        <v/>
      </c>
      <c r="W238" s="22" t="str">
        <f aca="false">IF(B238="","",IF(INDEX($E$7:$E$336,ROW()-6+Settings!$B$7+Settings!$B$8)&lt;&gt;"",INDEX($E$7:$E$336,ROW()-6+Settings!$B$7+Settings!$B$8),E238+(Settings!$B$7+Settings!$B$8)*D238/1440)+U238/1440)</f>
        <v/>
      </c>
      <c r="X238" s="18" t="str">
        <f aca="false">IF(B238="","",IF(INDEX($E$7:$E$336,ROW()-6+Settings!$B$7+Settings!$B$8)&lt;&gt;"","line","estimate"))</f>
        <v/>
      </c>
      <c r="Y238" s="25" t="str">
        <f aca="false">IF(B238="","",INT(W238-Settings!$B$6))</f>
        <v/>
      </c>
      <c r="Z238" s="19"/>
      <c r="AA238" s="18" t="str">
        <f aca="false">IF(B238="","",IF(AND(B238&lt;&gt;"Empty",F238=""),"part missing; ","")&amp;IF(AND(F238&lt;&gt;"",J238=""),"pieces missing; ","")&amp;IF(AND(F238&lt;&gt;"",O238=""),"part not on the Parts sheet; ","")&amp;IF(AND(B238="Empty",OR(F238&lt;&gt;"",K238&lt;&gt;"")),"empty tray with parts; ","")&amp;IF(AND(B238="Loaded",K238&lt;&gt;""),"second part: type Mixed; ","")&amp;IF(AND(Q238&lt;&gt;"",N(Q238)&gt;1),"over 100 % of the spec load; ","")&amp;IF(N(R238)&gt;Settings!$B$10,"over the tray maximum (kg); ","")&amp;IF(AND(K238&lt;&gt;"",IFERROR(INDEX(Parts!$C$6:$C$45,MATCH(K238,Parts!$A$6:$A$45,0)),O238)&lt;&gt;O238),"different processes in one tray; ","")&amp;IF(AND(S238&lt;&gt;"",T238=""),"rework reason missing; ",""))</f>
        <v/>
      </c>
    </row>
    <row r="239" customFormat="false" ht="15" hidden="false" customHeight="false" outlineLevel="0" collapsed="false">
      <c r="A239" s="18" t="str">
        <f aca="false">IF(B239="","",COUNTA(B$7:B239))</f>
        <v/>
      </c>
      <c r="B239" s="19"/>
      <c r="C239" s="20"/>
      <c r="D239" s="19" t="str">
        <f aca="false">IF(B239="","",IF(D238="",Report!$B$12,D238))</f>
        <v/>
      </c>
      <c r="E239" s="22" t="str">
        <f aca="false">IF(B239="","",IF(C239&lt;&gt;"",C239,E238+D238/1440+SUMIFS(Holds!$F$7:$F$46,Holds!$B$7:$B$46,"&gt;="&amp;E238,Holds!$B$7:$B$46,"&lt;"&amp;E238+D238/1440)/1440))</f>
        <v/>
      </c>
      <c r="F239" s="19"/>
      <c r="G239" s="19"/>
      <c r="H239" s="19"/>
      <c r="I239" s="19"/>
      <c r="J239" s="19"/>
      <c r="K239" s="19"/>
      <c r="L239" s="19"/>
      <c r="M239" s="19"/>
      <c r="N239" s="19"/>
      <c r="O239" s="18" t="str">
        <f aca="false">IF(F239="","",IFERROR(INDEX(Parts!$C$6:$C$45,MATCH(F239,Parts!$A$6:$A$45,0)),""))</f>
        <v/>
      </c>
      <c r="P239" s="18" t="str">
        <f aca="false">IF(F239="","",IFERROR(INDEX(Parts!$E$6:$E$45,MATCH(F239,Parts!$A$6:$A$45,0)),""))</f>
        <v/>
      </c>
      <c r="Q239" s="23" t="str">
        <f aca="false">IF(OR(J239="",P239="",P239=0),"",J239/P239+IF(OR(N239="",K239=""),0,IFERROR(N239/INDEX(Parts!$E$6:$E$45,MATCH(K239,Parts!$A$6:$A$45,0)),0)))</f>
        <v/>
      </c>
      <c r="R239" s="24" t="str">
        <f aca="false">IF(B239="","",IF(J239="",0,J239*IFERROR(INDEX(Parts!$F$6:$F$45,MATCH(F239,Parts!$A$6:$A$45,0)),0))+IF(N239="",0,N239*IFERROR(INDEX(Parts!$F$6:$F$45,MATCH(K239,Parts!$A$6:$A$45,0)),0)))</f>
        <v/>
      </c>
      <c r="S239" s="19"/>
      <c r="T239" s="19"/>
      <c r="U239" s="18" t="str">
        <f aca="false">IF(B239="","",IF(F239="",Settings!$B$9,IFERROR(INDEX(Parts!$H$6:$H$45,MATCH(F239,Parts!$A$6:$A$45,0))+0,Settings!$B$9)))</f>
        <v/>
      </c>
      <c r="V239" s="22" t="str">
        <f aca="false">IF(B239="","",IF(INDEX($E$7:$E$336,ROW()-6+Settings!$B$7)&lt;&gt;"",INDEX($E$7:$E$336,ROW()-6+Settings!$B$7),E239+Settings!$B$7*D239/1440))</f>
        <v/>
      </c>
      <c r="W239" s="22" t="str">
        <f aca="false">IF(B239="","",IF(INDEX($E$7:$E$336,ROW()-6+Settings!$B$7+Settings!$B$8)&lt;&gt;"",INDEX($E$7:$E$336,ROW()-6+Settings!$B$7+Settings!$B$8),E239+(Settings!$B$7+Settings!$B$8)*D239/1440)+U239/1440)</f>
        <v/>
      </c>
      <c r="X239" s="18" t="str">
        <f aca="false">IF(B239="","",IF(INDEX($E$7:$E$336,ROW()-6+Settings!$B$7+Settings!$B$8)&lt;&gt;"","line","estimate"))</f>
        <v/>
      </c>
      <c r="Y239" s="25" t="str">
        <f aca="false">IF(B239="","",INT(W239-Settings!$B$6))</f>
        <v/>
      </c>
      <c r="Z239" s="19"/>
      <c r="AA239" s="18" t="str">
        <f aca="false">IF(B239="","",IF(AND(B239&lt;&gt;"Empty",F239=""),"part missing; ","")&amp;IF(AND(F239&lt;&gt;"",J239=""),"pieces missing; ","")&amp;IF(AND(F239&lt;&gt;"",O239=""),"part not on the Parts sheet; ","")&amp;IF(AND(B239="Empty",OR(F239&lt;&gt;"",K239&lt;&gt;"")),"empty tray with parts; ","")&amp;IF(AND(B239="Loaded",K239&lt;&gt;""),"second part: type Mixed; ","")&amp;IF(AND(Q239&lt;&gt;"",N(Q239)&gt;1),"over 100 % of the spec load; ","")&amp;IF(N(R239)&gt;Settings!$B$10,"over the tray maximum (kg); ","")&amp;IF(AND(K239&lt;&gt;"",IFERROR(INDEX(Parts!$C$6:$C$45,MATCH(K239,Parts!$A$6:$A$45,0)),O239)&lt;&gt;O239),"different processes in one tray; ","")&amp;IF(AND(S239&lt;&gt;"",T239=""),"rework reason missing; ",""))</f>
        <v/>
      </c>
    </row>
    <row r="240" customFormat="false" ht="15" hidden="false" customHeight="false" outlineLevel="0" collapsed="false">
      <c r="A240" s="18" t="str">
        <f aca="false">IF(B240="","",COUNTA(B$7:B240))</f>
        <v/>
      </c>
      <c r="B240" s="19"/>
      <c r="C240" s="20"/>
      <c r="D240" s="19" t="str">
        <f aca="false">IF(B240="","",IF(D239="",Report!$B$12,D239))</f>
        <v/>
      </c>
      <c r="E240" s="22" t="str">
        <f aca="false">IF(B240="","",IF(C240&lt;&gt;"",C240,E239+D239/1440+SUMIFS(Holds!$F$7:$F$46,Holds!$B$7:$B$46,"&gt;="&amp;E239,Holds!$B$7:$B$46,"&lt;"&amp;E239+D239/1440)/1440))</f>
        <v/>
      </c>
      <c r="F240" s="19"/>
      <c r="G240" s="19"/>
      <c r="H240" s="19"/>
      <c r="I240" s="19"/>
      <c r="J240" s="19"/>
      <c r="K240" s="19"/>
      <c r="L240" s="19"/>
      <c r="M240" s="19"/>
      <c r="N240" s="19"/>
      <c r="O240" s="18" t="str">
        <f aca="false">IF(F240="","",IFERROR(INDEX(Parts!$C$6:$C$45,MATCH(F240,Parts!$A$6:$A$45,0)),""))</f>
        <v/>
      </c>
      <c r="P240" s="18" t="str">
        <f aca="false">IF(F240="","",IFERROR(INDEX(Parts!$E$6:$E$45,MATCH(F240,Parts!$A$6:$A$45,0)),""))</f>
        <v/>
      </c>
      <c r="Q240" s="23" t="str">
        <f aca="false">IF(OR(J240="",P240="",P240=0),"",J240/P240+IF(OR(N240="",K240=""),0,IFERROR(N240/INDEX(Parts!$E$6:$E$45,MATCH(K240,Parts!$A$6:$A$45,0)),0)))</f>
        <v/>
      </c>
      <c r="R240" s="24" t="str">
        <f aca="false">IF(B240="","",IF(J240="",0,J240*IFERROR(INDEX(Parts!$F$6:$F$45,MATCH(F240,Parts!$A$6:$A$45,0)),0))+IF(N240="",0,N240*IFERROR(INDEX(Parts!$F$6:$F$45,MATCH(K240,Parts!$A$6:$A$45,0)),0)))</f>
        <v/>
      </c>
      <c r="S240" s="19"/>
      <c r="T240" s="19"/>
      <c r="U240" s="18" t="str">
        <f aca="false">IF(B240="","",IF(F240="",Settings!$B$9,IFERROR(INDEX(Parts!$H$6:$H$45,MATCH(F240,Parts!$A$6:$A$45,0))+0,Settings!$B$9)))</f>
        <v/>
      </c>
      <c r="V240" s="22" t="str">
        <f aca="false">IF(B240="","",IF(INDEX($E$7:$E$336,ROW()-6+Settings!$B$7)&lt;&gt;"",INDEX($E$7:$E$336,ROW()-6+Settings!$B$7),E240+Settings!$B$7*D240/1440))</f>
        <v/>
      </c>
      <c r="W240" s="22" t="str">
        <f aca="false">IF(B240="","",IF(INDEX($E$7:$E$336,ROW()-6+Settings!$B$7+Settings!$B$8)&lt;&gt;"",INDEX($E$7:$E$336,ROW()-6+Settings!$B$7+Settings!$B$8),E240+(Settings!$B$7+Settings!$B$8)*D240/1440)+U240/1440)</f>
        <v/>
      </c>
      <c r="X240" s="18" t="str">
        <f aca="false">IF(B240="","",IF(INDEX($E$7:$E$336,ROW()-6+Settings!$B$7+Settings!$B$8)&lt;&gt;"","line","estimate"))</f>
        <v/>
      </c>
      <c r="Y240" s="25" t="str">
        <f aca="false">IF(B240="","",INT(W240-Settings!$B$6))</f>
        <v/>
      </c>
      <c r="Z240" s="19"/>
      <c r="AA240" s="18" t="str">
        <f aca="false">IF(B240="","",IF(AND(B240&lt;&gt;"Empty",F240=""),"part missing; ","")&amp;IF(AND(F240&lt;&gt;"",J240=""),"pieces missing; ","")&amp;IF(AND(F240&lt;&gt;"",O240=""),"part not on the Parts sheet; ","")&amp;IF(AND(B240="Empty",OR(F240&lt;&gt;"",K240&lt;&gt;"")),"empty tray with parts; ","")&amp;IF(AND(B240="Loaded",K240&lt;&gt;""),"second part: type Mixed; ","")&amp;IF(AND(Q240&lt;&gt;"",N(Q240)&gt;1),"over 100 % of the spec load; ","")&amp;IF(N(R240)&gt;Settings!$B$10,"over the tray maximum (kg); ","")&amp;IF(AND(K240&lt;&gt;"",IFERROR(INDEX(Parts!$C$6:$C$45,MATCH(K240,Parts!$A$6:$A$45,0)),O240)&lt;&gt;O240),"different processes in one tray; ","")&amp;IF(AND(S240&lt;&gt;"",T240=""),"rework reason missing; ",""))</f>
        <v/>
      </c>
    </row>
    <row r="241" customFormat="false" ht="15" hidden="false" customHeight="false" outlineLevel="0" collapsed="false">
      <c r="A241" s="18" t="str">
        <f aca="false">IF(B241="","",COUNTA(B$7:B241))</f>
        <v/>
      </c>
      <c r="B241" s="19"/>
      <c r="C241" s="20"/>
      <c r="D241" s="19" t="str">
        <f aca="false">IF(B241="","",IF(D240="",Report!$B$12,D240))</f>
        <v/>
      </c>
      <c r="E241" s="22" t="str">
        <f aca="false">IF(B241="","",IF(C241&lt;&gt;"",C241,E240+D240/1440+SUMIFS(Holds!$F$7:$F$46,Holds!$B$7:$B$46,"&gt;="&amp;E240,Holds!$B$7:$B$46,"&lt;"&amp;E240+D240/1440)/1440))</f>
        <v/>
      </c>
      <c r="F241" s="19"/>
      <c r="G241" s="19"/>
      <c r="H241" s="19"/>
      <c r="I241" s="19"/>
      <c r="J241" s="19"/>
      <c r="K241" s="19"/>
      <c r="L241" s="19"/>
      <c r="M241" s="19"/>
      <c r="N241" s="19"/>
      <c r="O241" s="18" t="str">
        <f aca="false">IF(F241="","",IFERROR(INDEX(Parts!$C$6:$C$45,MATCH(F241,Parts!$A$6:$A$45,0)),""))</f>
        <v/>
      </c>
      <c r="P241" s="18" t="str">
        <f aca="false">IF(F241="","",IFERROR(INDEX(Parts!$E$6:$E$45,MATCH(F241,Parts!$A$6:$A$45,0)),""))</f>
        <v/>
      </c>
      <c r="Q241" s="23" t="str">
        <f aca="false">IF(OR(J241="",P241="",P241=0),"",J241/P241+IF(OR(N241="",K241=""),0,IFERROR(N241/INDEX(Parts!$E$6:$E$45,MATCH(K241,Parts!$A$6:$A$45,0)),0)))</f>
        <v/>
      </c>
      <c r="R241" s="24" t="str">
        <f aca="false">IF(B241="","",IF(J241="",0,J241*IFERROR(INDEX(Parts!$F$6:$F$45,MATCH(F241,Parts!$A$6:$A$45,0)),0))+IF(N241="",0,N241*IFERROR(INDEX(Parts!$F$6:$F$45,MATCH(K241,Parts!$A$6:$A$45,0)),0)))</f>
        <v/>
      </c>
      <c r="S241" s="19"/>
      <c r="T241" s="19"/>
      <c r="U241" s="18" t="str">
        <f aca="false">IF(B241="","",IF(F241="",Settings!$B$9,IFERROR(INDEX(Parts!$H$6:$H$45,MATCH(F241,Parts!$A$6:$A$45,0))+0,Settings!$B$9)))</f>
        <v/>
      </c>
      <c r="V241" s="22" t="str">
        <f aca="false">IF(B241="","",IF(INDEX($E$7:$E$336,ROW()-6+Settings!$B$7)&lt;&gt;"",INDEX($E$7:$E$336,ROW()-6+Settings!$B$7),E241+Settings!$B$7*D241/1440))</f>
        <v/>
      </c>
      <c r="W241" s="22" t="str">
        <f aca="false">IF(B241="","",IF(INDEX($E$7:$E$336,ROW()-6+Settings!$B$7+Settings!$B$8)&lt;&gt;"",INDEX($E$7:$E$336,ROW()-6+Settings!$B$7+Settings!$B$8),E241+(Settings!$B$7+Settings!$B$8)*D241/1440)+U241/1440)</f>
        <v/>
      </c>
      <c r="X241" s="18" t="str">
        <f aca="false">IF(B241="","",IF(INDEX($E$7:$E$336,ROW()-6+Settings!$B$7+Settings!$B$8)&lt;&gt;"","line","estimate"))</f>
        <v/>
      </c>
      <c r="Y241" s="25" t="str">
        <f aca="false">IF(B241="","",INT(W241-Settings!$B$6))</f>
        <v/>
      </c>
      <c r="Z241" s="19"/>
      <c r="AA241" s="18" t="str">
        <f aca="false">IF(B241="","",IF(AND(B241&lt;&gt;"Empty",F241=""),"part missing; ","")&amp;IF(AND(F241&lt;&gt;"",J241=""),"pieces missing; ","")&amp;IF(AND(F241&lt;&gt;"",O241=""),"part not on the Parts sheet; ","")&amp;IF(AND(B241="Empty",OR(F241&lt;&gt;"",K241&lt;&gt;"")),"empty tray with parts; ","")&amp;IF(AND(B241="Loaded",K241&lt;&gt;""),"second part: type Mixed; ","")&amp;IF(AND(Q241&lt;&gt;"",N(Q241)&gt;1),"over 100 % of the spec load; ","")&amp;IF(N(R241)&gt;Settings!$B$10,"over the tray maximum (kg); ","")&amp;IF(AND(K241&lt;&gt;"",IFERROR(INDEX(Parts!$C$6:$C$45,MATCH(K241,Parts!$A$6:$A$45,0)),O241)&lt;&gt;O241),"different processes in one tray; ","")&amp;IF(AND(S241&lt;&gt;"",T241=""),"rework reason missing; ",""))</f>
        <v/>
      </c>
    </row>
    <row r="242" customFormat="false" ht="15" hidden="false" customHeight="false" outlineLevel="0" collapsed="false">
      <c r="A242" s="18" t="str">
        <f aca="false">IF(B242="","",COUNTA(B$7:B242))</f>
        <v/>
      </c>
      <c r="B242" s="19"/>
      <c r="C242" s="20"/>
      <c r="D242" s="19" t="str">
        <f aca="false">IF(B242="","",IF(D241="",Report!$B$12,D241))</f>
        <v/>
      </c>
      <c r="E242" s="22" t="str">
        <f aca="false">IF(B242="","",IF(C242&lt;&gt;"",C242,E241+D241/1440+SUMIFS(Holds!$F$7:$F$46,Holds!$B$7:$B$46,"&gt;="&amp;E241,Holds!$B$7:$B$46,"&lt;"&amp;E241+D241/1440)/1440))</f>
        <v/>
      </c>
      <c r="F242" s="19"/>
      <c r="G242" s="19"/>
      <c r="H242" s="19"/>
      <c r="I242" s="19"/>
      <c r="J242" s="19"/>
      <c r="K242" s="19"/>
      <c r="L242" s="19"/>
      <c r="M242" s="19"/>
      <c r="N242" s="19"/>
      <c r="O242" s="18" t="str">
        <f aca="false">IF(F242="","",IFERROR(INDEX(Parts!$C$6:$C$45,MATCH(F242,Parts!$A$6:$A$45,0)),""))</f>
        <v/>
      </c>
      <c r="P242" s="18" t="str">
        <f aca="false">IF(F242="","",IFERROR(INDEX(Parts!$E$6:$E$45,MATCH(F242,Parts!$A$6:$A$45,0)),""))</f>
        <v/>
      </c>
      <c r="Q242" s="23" t="str">
        <f aca="false">IF(OR(J242="",P242="",P242=0),"",J242/P242+IF(OR(N242="",K242=""),0,IFERROR(N242/INDEX(Parts!$E$6:$E$45,MATCH(K242,Parts!$A$6:$A$45,0)),0)))</f>
        <v/>
      </c>
      <c r="R242" s="24" t="str">
        <f aca="false">IF(B242="","",IF(J242="",0,J242*IFERROR(INDEX(Parts!$F$6:$F$45,MATCH(F242,Parts!$A$6:$A$45,0)),0))+IF(N242="",0,N242*IFERROR(INDEX(Parts!$F$6:$F$45,MATCH(K242,Parts!$A$6:$A$45,0)),0)))</f>
        <v/>
      </c>
      <c r="S242" s="19"/>
      <c r="T242" s="19"/>
      <c r="U242" s="18" t="str">
        <f aca="false">IF(B242="","",IF(F242="",Settings!$B$9,IFERROR(INDEX(Parts!$H$6:$H$45,MATCH(F242,Parts!$A$6:$A$45,0))+0,Settings!$B$9)))</f>
        <v/>
      </c>
      <c r="V242" s="22" t="str">
        <f aca="false">IF(B242="","",IF(INDEX($E$7:$E$336,ROW()-6+Settings!$B$7)&lt;&gt;"",INDEX($E$7:$E$336,ROW()-6+Settings!$B$7),E242+Settings!$B$7*D242/1440))</f>
        <v/>
      </c>
      <c r="W242" s="22" t="str">
        <f aca="false">IF(B242="","",IF(INDEX($E$7:$E$336,ROW()-6+Settings!$B$7+Settings!$B$8)&lt;&gt;"",INDEX($E$7:$E$336,ROW()-6+Settings!$B$7+Settings!$B$8),E242+(Settings!$B$7+Settings!$B$8)*D242/1440)+U242/1440)</f>
        <v/>
      </c>
      <c r="X242" s="18" t="str">
        <f aca="false">IF(B242="","",IF(INDEX($E$7:$E$336,ROW()-6+Settings!$B$7+Settings!$B$8)&lt;&gt;"","line","estimate"))</f>
        <v/>
      </c>
      <c r="Y242" s="25" t="str">
        <f aca="false">IF(B242="","",INT(W242-Settings!$B$6))</f>
        <v/>
      </c>
      <c r="Z242" s="19"/>
      <c r="AA242" s="18" t="str">
        <f aca="false">IF(B242="","",IF(AND(B242&lt;&gt;"Empty",F242=""),"part missing; ","")&amp;IF(AND(F242&lt;&gt;"",J242=""),"pieces missing; ","")&amp;IF(AND(F242&lt;&gt;"",O242=""),"part not on the Parts sheet; ","")&amp;IF(AND(B242="Empty",OR(F242&lt;&gt;"",K242&lt;&gt;"")),"empty tray with parts; ","")&amp;IF(AND(B242="Loaded",K242&lt;&gt;""),"second part: type Mixed; ","")&amp;IF(AND(Q242&lt;&gt;"",N(Q242)&gt;1),"over 100 % of the spec load; ","")&amp;IF(N(R242)&gt;Settings!$B$10,"over the tray maximum (kg); ","")&amp;IF(AND(K242&lt;&gt;"",IFERROR(INDEX(Parts!$C$6:$C$45,MATCH(K242,Parts!$A$6:$A$45,0)),O242)&lt;&gt;O242),"different processes in one tray; ","")&amp;IF(AND(S242&lt;&gt;"",T242=""),"rework reason missing; ",""))</f>
        <v/>
      </c>
    </row>
    <row r="243" customFormat="false" ht="15" hidden="false" customHeight="false" outlineLevel="0" collapsed="false">
      <c r="A243" s="18" t="str">
        <f aca="false">IF(B243="","",COUNTA(B$7:B243))</f>
        <v/>
      </c>
      <c r="B243" s="19"/>
      <c r="C243" s="20"/>
      <c r="D243" s="19" t="str">
        <f aca="false">IF(B243="","",IF(D242="",Report!$B$12,D242))</f>
        <v/>
      </c>
      <c r="E243" s="22" t="str">
        <f aca="false">IF(B243="","",IF(C243&lt;&gt;"",C243,E242+D242/1440+SUMIFS(Holds!$F$7:$F$46,Holds!$B$7:$B$46,"&gt;="&amp;E242,Holds!$B$7:$B$46,"&lt;"&amp;E242+D242/1440)/1440))</f>
        <v/>
      </c>
      <c r="F243" s="19"/>
      <c r="G243" s="19"/>
      <c r="H243" s="19"/>
      <c r="I243" s="19"/>
      <c r="J243" s="19"/>
      <c r="K243" s="19"/>
      <c r="L243" s="19"/>
      <c r="M243" s="19"/>
      <c r="N243" s="19"/>
      <c r="O243" s="18" t="str">
        <f aca="false">IF(F243="","",IFERROR(INDEX(Parts!$C$6:$C$45,MATCH(F243,Parts!$A$6:$A$45,0)),""))</f>
        <v/>
      </c>
      <c r="P243" s="18" t="str">
        <f aca="false">IF(F243="","",IFERROR(INDEX(Parts!$E$6:$E$45,MATCH(F243,Parts!$A$6:$A$45,0)),""))</f>
        <v/>
      </c>
      <c r="Q243" s="23" t="str">
        <f aca="false">IF(OR(J243="",P243="",P243=0),"",J243/P243+IF(OR(N243="",K243=""),0,IFERROR(N243/INDEX(Parts!$E$6:$E$45,MATCH(K243,Parts!$A$6:$A$45,0)),0)))</f>
        <v/>
      </c>
      <c r="R243" s="24" t="str">
        <f aca="false">IF(B243="","",IF(J243="",0,J243*IFERROR(INDEX(Parts!$F$6:$F$45,MATCH(F243,Parts!$A$6:$A$45,0)),0))+IF(N243="",0,N243*IFERROR(INDEX(Parts!$F$6:$F$45,MATCH(K243,Parts!$A$6:$A$45,0)),0)))</f>
        <v/>
      </c>
      <c r="S243" s="19"/>
      <c r="T243" s="19"/>
      <c r="U243" s="18" t="str">
        <f aca="false">IF(B243="","",IF(F243="",Settings!$B$9,IFERROR(INDEX(Parts!$H$6:$H$45,MATCH(F243,Parts!$A$6:$A$45,0))+0,Settings!$B$9)))</f>
        <v/>
      </c>
      <c r="V243" s="22" t="str">
        <f aca="false">IF(B243="","",IF(INDEX($E$7:$E$336,ROW()-6+Settings!$B$7)&lt;&gt;"",INDEX($E$7:$E$336,ROW()-6+Settings!$B$7),E243+Settings!$B$7*D243/1440))</f>
        <v/>
      </c>
      <c r="W243" s="22" t="str">
        <f aca="false">IF(B243="","",IF(INDEX($E$7:$E$336,ROW()-6+Settings!$B$7+Settings!$B$8)&lt;&gt;"",INDEX($E$7:$E$336,ROW()-6+Settings!$B$7+Settings!$B$8),E243+(Settings!$B$7+Settings!$B$8)*D243/1440)+U243/1440)</f>
        <v/>
      </c>
      <c r="X243" s="18" t="str">
        <f aca="false">IF(B243="","",IF(INDEX($E$7:$E$336,ROW()-6+Settings!$B$7+Settings!$B$8)&lt;&gt;"","line","estimate"))</f>
        <v/>
      </c>
      <c r="Y243" s="25" t="str">
        <f aca="false">IF(B243="","",INT(W243-Settings!$B$6))</f>
        <v/>
      </c>
      <c r="Z243" s="19"/>
      <c r="AA243" s="18" t="str">
        <f aca="false">IF(B243="","",IF(AND(B243&lt;&gt;"Empty",F243=""),"part missing; ","")&amp;IF(AND(F243&lt;&gt;"",J243=""),"pieces missing; ","")&amp;IF(AND(F243&lt;&gt;"",O243=""),"part not on the Parts sheet; ","")&amp;IF(AND(B243="Empty",OR(F243&lt;&gt;"",K243&lt;&gt;"")),"empty tray with parts; ","")&amp;IF(AND(B243="Loaded",K243&lt;&gt;""),"second part: type Mixed; ","")&amp;IF(AND(Q243&lt;&gt;"",N(Q243)&gt;1),"over 100 % of the spec load; ","")&amp;IF(N(R243)&gt;Settings!$B$10,"over the tray maximum (kg); ","")&amp;IF(AND(K243&lt;&gt;"",IFERROR(INDEX(Parts!$C$6:$C$45,MATCH(K243,Parts!$A$6:$A$45,0)),O243)&lt;&gt;O243),"different processes in one tray; ","")&amp;IF(AND(S243&lt;&gt;"",T243=""),"rework reason missing; ",""))</f>
        <v/>
      </c>
    </row>
    <row r="244" customFormat="false" ht="15" hidden="false" customHeight="false" outlineLevel="0" collapsed="false">
      <c r="A244" s="18" t="str">
        <f aca="false">IF(B244="","",COUNTA(B$7:B244))</f>
        <v/>
      </c>
      <c r="B244" s="19"/>
      <c r="C244" s="20"/>
      <c r="D244" s="19" t="str">
        <f aca="false">IF(B244="","",IF(D243="",Report!$B$12,D243))</f>
        <v/>
      </c>
      <c r="E244" s="22" t="str">
        <f aca="false">IF(B244="","",IF(C244&lt;&gt;"",C244,E243+D243/1440+SUMIFS(Holds!$F$7:$F$46,Holds!$B$7:$B$46,"&gt;="&amp;E243,Holds!$B$7:$B$46,"&lt;"&amp;E243+D243/1440)/1440))</f>
        <v/>
      </c>
      <c r="F244" s="19"/>
      <c r="G244" s="19"/>
      <c r="H244" s="19"/>
      <c r="I244" s="19"/>
      <c r="J244" s="19"/>
      <c r="K244" s="19"/>
      <c r="L244" s="19"/>
      <c r="M244" s="19"/>
      <c r="N244" s="19"/>
      <c r="O244" s="18" t="str">
        <f aca="false">IF(F244="","",IFERROR(INDEX(Parts!$C$6:$C$45,MATCH(F244,Parts!$A$6:$A$45,0)),""))</f>
        <v/>
      </c>
      <c r="P244" s="18" t="str">
        <f aca="false">IF(F244="","",IFERROR(INDEX(Parts!$E$6:$E$45,MATCH(F244,Parts!$A$6:$A$45,0)),""))</f>
        <v/>
      </c>
      <c r="Q244" s="23" t="str">
        <f aca="false">IF(OR(J244="",P244="",P244=0),"",J244/P244+IF(OR(N244="",K244=""),0,IFERROR(N244/INDEX(Parts!$E$6:$E$45,MATCH(K244,Parts!$A$6:$A$45,0)),0)))</f>
        <v/>
      </c>
      <c r="R244" s="24" t="str">
        <f aca="false">IF(B244="","",IF(J244="",0,J244*IFERROR(INDEX(Parts!$F$6:$F$45,MATCH(F244,Parts!$A$6:$A$45,0)),0))+IF(N244="",0,N244*IFERROR(INDEX(Parts!$F$6:$F$45,MATCH(K244,Parts!$A$6:$A$45,0)),0)))</f>
        <v/>
      </c>
      <c r="S244" s="19"/>
      <c r="T244" s="19"/>
      <c r="U244" s="18" t="str">
        <f aca="false">IF(B244="","",IF(F244="",Settings!$B$9,IFERROR(INDEX(Parts!$H$6:$H$45,MATCH(F244,Parts!$A$6:$A$45,0))+0,Settings!$B$9)))</f>
        <v/>
      </c>
      <c r="V244" s="22" t="str">
        <f aca="false">IF(B244="","",IF(INDEX($E$7:$E$336,ROW()-6+Settings!$B$7)&lt;&gt;"",INDEX($E$7:$E$336,ROW()-6+Settings!$B$7),E244+Settings!$B$7*D244/1440))</f>
        <v/>
      </c>
      <c r="W244" s="22" t="str">
        <f aca="false">IF(B244="","",IF(INDEX($E$7:$E$336,ROW()-6+Settings!$B$7+Settings!$B$8)&lt;&gt;"",INDEX($E$7:$E$336,ROW()-6+Settings!$B$7+Settings!$B$8),E244+(Settings!$B$7+Settings!$B$8)*D244/1440)+U244/1440)</f>
        <v/>
      </c>
      <c r="X244" s="18" t="str">
        <f aca="false">IF(B244="","",IF(INDEX($E$7:$E$336,ROW()-6+Settings!$B$7+Settings!$B$8)&lt;&gt;"","line","estimate"))</f>
        <v/>
      </c>
      <c r="Y244" s="25" t="str">
        <f aca="false">IF(B244="","",INT(W244-Settings!$B$6))</f>
        <v/>
      </c>
      <c r="Z244" s="19"/>
      <c r="AA244" s="18" t="str">
        <f aca="false">IF(B244="","",IF(AND(B244&lt;&gt;"Empty",F244=""),"part missing; ","")&amp;IF(AND(F244&lt;&gt;"",J244=""),"pieces missing; ","")&amp;IF(AND(F244&lt;&gt;"",O244=""),"part not on the Parts sheet; ","")&amp;IF(AND(B244="Empty",OR(F244&lt;&gt;"",K244&lt;&gt;"")),"empty tray with parts; ","")&amp;IF(AND(B244="Loaded",K244&lt;&gt;""),"second part: type Mixed; ","")&amp;IF(AND(Q244&lt;&gt;"",N(Q244)&gt;1),"over 100 % of the spec load; ","")&amp;IF(N(R244)&gt;Settings!$B$10,"over the tray maximum (kg); ","")&amp;IF(AND(K244&lt;&gt;"",IFERROR(INDEX(Parts!$C$6:$C$45,MATCH(K244,Parts!$A$6:$A$45,0)),O244)&lt;&gt;O244),"different processes in one tray; ","")&amp;IF(AND(S244&lt;&gt;"",T244=""),"rework reason missing; ",""))</f>
        <v/>
      </c>
    </row>
    <row r="245" customFormat="false" ht="15" hidden="false" customHeight="false" outlineLevel="0" collapsed="false">
      <c r="A245" s="18" t="str">
        <f aca="false">IF(B245="","",COUNTA(B$7:B245))</f>
        <v/>
      </c>
      <c r="B245" s="19"/>
      <c r="C245" s="20"/>
      <c r="D245" s="19" t="str">
        <f aca="false">IF(B245="","",IF(D244="",Report!$B$12,D244))</f>
        <v/>
      </c>
      <c r="E245" s="22" t="str">
        <f aca="false">IF(B245="","",IF(C245&lt;&gt;"",C245,E244+D244/1440+SUMIFS(Holds!$F$7:$F$46,Holds!$B$7:$B$46,"&gt;="&amp;E244,Holds!$B$7:$B$46,"&lt;"&amp;E244+D244/1440)/1440))</f>
        <v/>
      </c>
      <c r="F245" s="19"/>
      <c r="G245" s="19"/>
      <c r="H245" s="19"/>
      <c r="I245" s="19"/>
      <c r="J245" s="19"/>
      <c r="K245" s="19"/>
      <c r="L245" s="19"/>
      <c r="M245" s="19"/>
      <c r="N245" s="19"/>
      <c r="O245" s="18" t="str">
        <f aca="false">IF(F245="","",IFERROR(INDEX(Parts!$C$6:$C$45,MATCH(F245,Parts!$A$6:$A$45,0)),""))</f>
        <v/>
      </c>
      <c r="P245" s="18" t="str">
        <f aca="false">IF(F245="","",IFERROR(INDEX(Parts!$E$6:$E$45,MATCH(F245,Parts!$A$6:$A$45,0)),""))</f>
        <v/>
      </c>
      <c r="Q245" s="23" t="str">
        <f aca="false">IF(OR(J245="",P245="",P245=0),"",J245/P245+IF(OR(N245="",K245=""),0,IFERROR(N245/INDEX(Parts!$E$6:$E$45,MATCH(K245,Parts!$A$6:$A$45,0)),0)))</f>
        <v/>
      </c>
      <c r="R245" s="24" t="str">
        <f aca="false">IF(B245="","",IF(J245="",0,J245*IFERROR(INDEX(Parts!$F$6:$F$45,MATCH(F245,Parts!$A$6:$A$45,0)),0))+IF(N245="",0,N245*IFERROR(INDEX(Parts!$F$6:$F$45,MATCH(K245,Parts!$A$6:$A$45,0)),0)))</f>
        <v/>
      </c>
      <c r="S245" s="19"/>
      <c r="T245" s="19"/>
      <c r="U245" s="18" t="str">
        <f aca="false">IF(B245="","",IF(F245="",Settings!$B$9,IFERROR(INDEX(Parts!$H$6:$H$45,MATCH(F245,Parts!$A$6:$A$45,0))+0,Settings!$B$9)))</f>
        <v/>
      </c>
      <c r="V245" s="22" t="str">
        <f aca="false">IF(B245="","",IF(INDEX($E$7:$E$336,ROW()-6+Settings!$B$7)&lt;&gt;"",INDEX($E$7:$E$336,ROW()-6+Settings!$B$7),E245+Settings!$B$7*D245/1440))</f>
        <v/>
      </c>
      <c r="W245" s="22" t="str">
        <f aca="false">IF(B245="","",IF(INDEX($E$7:$E$336,ROW()-6+Settings!$B$7+Settings!$B$8)&lt;&gt;"",INDEX($E$7:$E$336,ROW()-6+Settings!$B$7+Settings!$B$8),E245+(Settings!$B$7+Settings!$B$8)*D245/1440)+U245/1440)</f>
        <v/>
      </c>
      <c r="X245" s="18" t="str">
        <f aca="false">IF(B245="","",IF(INDEX($E$7:$E$336,ROW()-6+Settings!$B$7+Settings!$B$8)&lt;&gt;"","line","estimate"))</f>
        <v/>
      </c>
      <c r="Y245" s="25" t="str">
        <f aca="false">IF(B245="","",INT(W245-Settings!$B$6))</f>
        <v/>
      </c>
      <c r="Z245" s="19"/>
      <c r="AA245" s="18" t="str">
        <f aca="false">IF(B245="","",IF(AND(B245&lt;&gt;"Empty",F245=""),"part missing; ","")&amp;IF(AND(F245&lt;&gt;"",J245=""),"pieces missing; ","")&amp;IF(AND(F245&lt;&gt;"",O245=""),"part not on the Parts sheet; ","")&amp;IF(AND(B245="Empty",OR(F245&lt;&gt;"",K245&lt;&gt;"")),"empty tray with parts; ","")&amp;IF(AND(B245="Loaded",K245&lt;&gt;""),"second part: type Mixed; ","")&amp;IF(AND(Q245&lt;&gt;"",N(Q245)&gt;1),"over 100 % of the spec load; ","")&amp;IF(N(R245)&gt;Settings!$B$10,"over the tray maximum (kg); ","")&amp;IF(AND(K245&lt;&gt;"",IFERROR(INDEX(Parts!$C$6:$C$45,MATCH(K245,Parts!$A$6:$A$45,0)),O245)&lt;&gt;O245),"different processes in one tray; ","")&amp;IF(AND(S245&lt;&gt;"",T245=""),"rework reason missing; ",""))</f>
        <v/>
      </c>
    </row>
    <row r="246" customFormat="false" ht="15" hidden="false" customHeight="false" outlineLevel="0" collapsed="false">
      <c r="A246" s="18" t="str">
        <f aca="false">IF(B246="","",COUNTA(B$7:B246))</f>
        <v/>
      </c>
      <c r="B246" s="19"/>
      <c r="C246" s="20"/>
      <c r="D246" s="19" t="str">
        <f aca="false">IF(B246="","",IF(D245="",Report!$B$12,D245))</f>
        <v/>
      </c>
      <c r="E246" s="22" t="str">
        <f aca="false">IF(B246="","",IF(C246&lt;&gt;"",C246,E245+D245/1440+SUMIFS(Holds!$F$7:$F$46,Holds!$B$7:$B$46,"&gt;="&amp;E245,Holds!$B$7:$B$46,"&lt;"&amp;E245+D245/1440)/1440))</f>
        <v/>
      </c>
      <c r="F246" s="19"/>
      <c r="G246" s="19"/>
      <c r="H246" s="19"/>
      <c r="I246" s="19"/>
      <c r="J246" s="19"/>
      <c r="K246" s="19"/>
      <c r="L246" s="19"/>
      <c r="M246" s="19"/>
      <c r="N246" s="19"/>
      <c r="O246" s="18" t="str">
        <f aca="false">IF(F246="","",IFERROR(INDEX(Parts!$C$6:$C$45,MATCH(F246,Parts!$A$6:$A$45,0)),""))</f>
        <v/>
      </c>
      <c r="P246" s="18" t="str">
        <f aca="false">IF(F246="","",IFERROR(INDEX(Parts!$E$6:$E$45,MATCH(F246,Parts!$A$6:$A$45,0)),""))</f>
        <v/>
      </c>
      <c r="Q246" s="23" t="str">
        <f aca="false">IF(OR(J246="",P246="",P246=0),"",J246/P246+IF(OR(N246="",K246=""),0,IFERROR(N246/INDEX(Parts!$E$6:$E$45,MATCH(K246,Parts!$A$6:$A$45,0)),0)))</f>
        <v/>
      </c>
      <c r="R246" s="24" t="str">
        <f aca="false">IF(B246="","",IF(J246="",0,J246*IFERROR(INDEX(Parts!$F$6:$F$45,MATCH(F246,Parts!$A$6:$A$45,0)),0))+IF(N246="",0,N246*IFERROR(INDEX(Parts!$F$6:$F$45,MATCH(K246,Parts!$A$6:$A$45,0)),0)))</f>
        <v/>
      </c>
      <c r="S246" s="19"/>
      <c r="T246" s="19"/>
      <c r="U246" s="18" t="str">
        <f aca="false">IF(B246="","",IF(F246="",Settings!$B$9,IFERROR(INDEX(Parts!$H$6:$H$45,MATCH(F246,Parts!$A$6:$A$45,0))+0,Settings!$B$9)))</f>
        <v/>
      </c>
      <c r="V246" s="22" t="str">
        <f aca="false">IF(B246="","",IF(INDEX($E$7:$E$336,ROW()-6+Settings!$B$7)&lt;&gt;"",INDEX($E$7:$E$336,ROW()-6+Settings!$B$7),E246+Settings!$B$7*D246/1440))</f>
        <v/>
      </c>
      <c r="W246" s="22" t="str">
        <f aca="false">IF(B246="","",IF(INDEX($E$7:$E$336,ROW()-6+Settings!$B$7+Settings!$B$8)&lt;&gt;"",INDEX($E$7:$E$336,ROW()-6+Settings!$B$7+Settings!$B$8),E246+(Settings!$B$7+Settings!$B$8)*D246/1440)+U246/1440)</f>
        <v/>
      </c>
      <c r="X246" s="18" t="str">
        <f aca="false">IF(B246="","",IF(INDEX($E$7:$E$336,ROW()-6+Settings!$B$7+Settings!$B$8)&lt;&gt;"","line","estimate"))</f>
        <v/>
      </c>
      <c r="Y246" s="25" t="str">
        <f aca="false">IF(B246="","",INT(W246-Settings!$B$6))</f>
        <v/>
      </c>
      <c r="Z246" s="19"/>
      <c r="AA246" s="18" t="str">
        <f aca="false">IF(B246="","",IF(AND(B246&lt;&gt;"Empty",F246=""),"part missing; ","")&amp;IF(AND(F246&lt;&gt;"",J246=""),"pieces missing; ","")&amp;IF(AND(F246&lt;&gt;"",O246=""),"part not on the Parts sheet; ","")&amp;IF(AND(B246="Empty",OR(F246&lt;&gt;"",K246&lt;&gt;"")),"empty tray with parts; ","")&amp;IF(AND(B246="Loaded",K246&lt;&gt;""),"second part: type Mixed; ","")&amp;IF(AND(Q246&lt;&gt;"",N(Q246)&gt;1),"over 100 % of the spec load; ","")&amp;IF(N(R246)&gt;Settings!$B$10,"over the tray maximum (kg); ","")&amp;IF(AND(K246&lt;&gt;"",IFERROR(INDEX(Parts!$C$6:$C$45,MATCH(K246,Parts!$A$6:$A$45,0)),O246)&lt;&gt;O246),"different processes in one tray; ","")&amp;IF(AND(S246&lt;&gt;"",T246=""),"rework reason missing; ",""))</f>
        <v/>
      </c>
    </row>
    <row r="247" customFormat="false" ht="15" hidden="false" customHeight="false" outlineLevel="0" collapsed="false">
      <c r="A247" s="18" t="str">
        <f aca="false">IF(B247="","",COUNTA(B$7:B247))</f>
        <v/>
      </c>
      <c r="B247" s="19"/>
      <c r="C247" s="20"/>
      <c r="D247" s="19" t="str">
        <f aca="false">IF(B247="","",IF(D246="",Report!$B$12,D246))</f>
        <v/>
      </c>
      <c r="E247" s="22" t="str">
        <f aca="false">IF(B247="","",IF(C247&lt;&gt;"",C247,E246+D246/1440+SUMIFS(Holds!$F$7:$F$46,Holds!$B$7:$B$46,"&gt;="&amp;E246,Holds!$B$7:$B$46,"&lt;"&amp;E246+D246/1440)/1440))</f>
        <v/>
      </c>
      <c r="F247" s="19"/>
      <c r="G247" s="19"/>
      <c r="H247" s="19"/>
      <c r="I247" s="19"/>
      <c r="J247" s="19"/>
      <c r="K247" s="19"/>
      <c r="L247" s="19"/>
      <c r="M247" s="19"/>
      <c r="N247" s="19"/>
      <c r="O247" s="18" t="str">
        <f aca="false">IF(F247="","",IFERROR(INDEX(Parts!$C$6:$C$45,MATCH(F247,Parts!$A$6:$A$45,0)),""))</f>
        <v/>
      </c>
      <c r="P247" s="18" t="str">
        <f aca="false">IF(F247="","",IFERROR(INDEX(Parts!$E$6:$E$45,MATCH(F247,Parts!$A$6:$A$45,0)),""))</f>
        <v/>
      </c>
      <c r="Q247" s="23" t="str">
        <f aca="false">IF(OR(J247="",P247="",P247=0),"",J247/P247+IF(OR(N247="",K247=""),0,IFERROR(N247/INDEX(Parts!$E$6:$E$45,MATCH(K247,Parts!$A$6:$A$45,0)),0)))</f>
        <v/>
      </c>
      <c r="R247" s="24" t="str">
        <f aca="false">IF(B247="","",IF(J247="",0,J247*IFERROR(INDEX(Parts!$F$6:$F$45,MATCH(F247,Parts!$A$6:$A$45,0)),0))+IF(N247="",0,N247*IFERROR(INDEX(Parts!$F$6:$F$45,MATCH(K247,Parts!$A$6:$A$45,0)),0)))</f>
        <v/>
      </c>
      <c r="S247" s="19"/>
      <c r="T247" s="19"/>
      <c r="U247" s="18" t="str">
        <f aca="false">IF(B247="","",IF(F247="",Settings!$B$9,IFERROR(INDEX(Parts!$H$6:$H$45,MATCH(F247,Parts!$A$6:$A$45,0))+0,Settings!$B$9)))</f>
        <v/>
      </c>
      <c r="V247" s="22" t="str">
        <f aca="false">IF(B247="","",IF(INDEX($E$7:$E$336,ROW()-6+Settings!$B$7)&lt;&gt;"",INDEX($E$7:$E$336,ROW()-6+Settings!$B$7),E247+Settings!$B$7*D247/1440))</f>
        <v/>
      </c>
      <c r="W247" s="22" t="str">
        <f aca="false">IF(B247="","",IF(INDEX($E$7:$E$336,ROW()-6+Settings!$B$7+Settings!$B$8)&lt;&gt;"",INDEX($E$7:$E$336,ROW()-6+Settings!$B$7+Settings!$B$8),E247+(Settings!$B$7+Settings!$B$8)*D247/1440)+U247/1440)</f>
        <v/>
      </c>
      <c r="X247" s="18" t="str">
        <f aca="false">IF(B247="","",IF(INDEX($E$7:$E$336,ROW()-6+Settings!$B$7+Settings!$B$8)&lt;&gt;"","line","estimate"))</f>
        <v/>
      </c>
      <c r="Y247" s="25" t="str">
        <f aca="false">IF(B247="","",INT(W247-Settings!$B$6))</f>
        <v/>
      </c>
      <c r="Z247" s="19"/>
      <c r="AA247" s="18" t="str">
        <f aca="false">IF(B247="","",IF(AND(B247&lt;&gt;"Empty",F247=""),"part missing; ","")&amp;IF(AND(F247&lt;&gt;"",J247=""),"pieces missing; ","")&amp;IF(AND(F247&lt;&gt;"",O247=""),"part not on the Parts sheet; ","")&amp;IF(AND(B247="Empty",OR(F247&lt;&gt;"",K247&lt;&gt;"")),"empty tray with parts; ","")&amp;IF(AND(B247="Loaded",K247&lt;&gt;""),"second part: type Mixed; ","")&amp;IF(AND(Q247&lt;&gt;"",N(Q247)&gt;1),"over 100 % of the spec load; ","")&amp;IF(N(R247)&gt;Settings!$B$10,"over the tray maximum (kg); ","")&amp;IF(AND(K247&lt;&gt;"",IFERROR(INDEX(Parts!$C$6:$C$45,MATCH(K247,Parts!$A$6:$A$45,0)),O247)&lt;&gt;O247),"different processes in one tray; ","")&amp;IF(AND(S247&lt;&gt;"",T247=""),"rework reason missing; ",""))</f>
        <v/>
      </c>
    </row>
    <row r="248" customFormat="false" ht="15" hidden="false" customHeight="false" outlineLevel="0" collapsed="false">
      <c r="A248" s="18" t="str">
        <f aca="false">IF(B248="","",COUNTA(B$7:B248))</f>
        <v/>
      </c>
      <c r="B248" s="19"/>
      <c r="C248" s="20"/>
      <c r="D248" s="19" t="str">
        <f aca="false">IF(B248="","",IF(D247="",Report!$B$12,D247))</f>
        <v/>
      </c>
      <c r="E248" s="22" t="str">
        <f aca="false">IF(B248="","",IF(C248&lt;&gt;"",C248,E247+D247/1440+SUMIFS(Holds!$F$7:$F$46,Holds!$B$7:$B$46,"&gt;="&amp;E247,Holds!$B$7:$B$46,"&lt;"&amp;E247+D247/1440)/1440))</f>
        <v/>
      </c>
      <c r="F248" s="19"/>
      <c r="G248" s="19"/>
      <c r="H248" s="19"/>
      <c r="I248" s="19"/>
      <c r="J248" s="19"/>
      <c r="K248" s="19"/>
      <c r="L248" s="19"/>
      <c r="M248" s="19"/>
      <c r="N248" s="19"/>
      <c r="O248" s="18" t="str">
        <f aca="false">IF(F248="","",IFERROR(INDEX(Parts!$C$6:$C$45,MATCH(F248,Parts!$A$6:$A$45,0)),""))</f>
        <v/>
      </c>
      <c r="P248" s="18" t="str">
        <f aca="false">IF(F248="","",IFERROR(INDEX(Parts!$E$6:$E$45,MATCH(F248,Parts!$A$6:$A$45,0)),""))</f>
        <v/>
      </c>
      <c r="Q248" s="23" t="str">
        <f aca="false">IF(OR(J248="",P248="",P248=0),"",J248/P248+IF(OR(N248="",K248=""),0,IFERROR(N248/INDEX(Parts!$E$6:$E$45,MATCH(K248,Parts!$A$6:$A$45,0)),0)))</f>
        <v/>
      </c>
      <c r="R248" s="24" t="str">
        <f aca="false">IF(B248="","",IF(J248="",0,J248*IFERROR(INDEX(Parts!$F$6:$F$45,MATCH(F248,Parts!$A$6:$A$45,0)),0))+IF(N248="",0,N248*IFERROR(INDEX(Parts!$F$6:$F$45,MATCH(K248,Parts!$A$6:$A$45,0)),0)))</f>
        <v/>
      </c>
      <c r="S248" s="19"/>
      <c r="T248" s="19"/>
      <c r="U248" s="18" t="str">
        <f aca="false">IF(B248="","",IF(F248="",Settings!$B$9,IFERROR(INDEX(Parts!$H$6:$H$45,MATCH(F248,Parts!$A$6:$A$45,0))+0,Settings!$B$9)))</f>
        <v/>
      </c>
      <c r="V248" s="22" t="str">
        <f aca="false">IF(B248="","",IF(INDEX($E$7:$E$336,ROW()-6+Settings!$B$7)&lt;&gt;"",INDEX($E$7:$E$336,ROW()-6+Settings!$B$7),E248+Settings!$B$7*D248/1440))</f>
        <v/>
      </c>
      <c r="W248" s="22" t="str">
        <f aca="false">IF(B248="","",IF(INDEX($E$7:$E$336,ROW()-6+Settings!$B$7+Settings!$B$8)&lt;&gt;"",INDEX($E$7:$E$336,ROW()-6+Settings!$B$7+Settings!$B$8),E248+(Settings!$B$7+Settings!$B$8)*D248/1440)+U248/1440)</f>
        <v/>
      </c>
      <c r="X248" s="18" t="str">
        <f aca="false">IF(B248="","",IF(INDEX($E$7:$E$336,ROW()-6+Settings!$B$7+Settings!$B$8)&lt;&gt;"","line","estimate"))</f>
        <v/>
      </c>
      <c r="Y248" s="25" t="str">
        <f aca="false">IF(B248="","",INT(W248-Settings!$B$6))</f>
        <v/>
      </c>
      <c r="Z248" s="19"/>
      <c r="AA248" s="18" t="str">
        <f aca="false">IF(B248="","",IF(AND(B248&lt;&gt;"Empty",F248=""),"part missing; ","")&amp;IF(AND(F248&lt;&gt;"",J248=""),"pieces missing; ","")&amp;IF(AND(F248&lt;&gt;"",O248=""),"part not on the Parts sheet; ","")&amp;IF(AND(B248="Empty",OR(F248&lt;&gt;"",K248&lt;&gt;"")),"empty tray with parts; ","")&amp;IF(AND(B248="Loaded",K248&lt;&gt;""),"second part: type Mixed; ","")&amp;IF(AND(Q248&lt;&gt;"",N(Q248)&gt;1),"over 100 % of the spec load; ","")&amp;IF(N(R248)&gt;Settings!$B$10,"over the tray maximum (kg); ","")&amp;IF(AND(K248&lt;&gt;"",IFERROR(INDEX(Parts!$C$6:$C$45,MATCH(K248,Parts!$A$6:$A$45,0)),O248)&lt;&gt;O248),"different processes in one tray; ","")&amp;IF(AND(S248&lt;&gt;"",T248=""),"rework reason missing; ",""))</f>
        <v/>
      </c>
    </row>
    <row r="249" customFormat="false" ht="15" hidden="false" customHeight="false" outlineLevel="0" collapsed="false">
      <c r="A249" s="18" t="str">
        <f aca="false">IF(B249="","",COUNTA(B$7:B249))</f>
        <v/>
      </c>
      <c r="B249" s="19"/>
      <c r="C249" s="20"/>
      <c r="D249" s="19" t="str">
        <f aca="false">IF(B249="","",IF(D248="",Report!$B$12,D248))</f>
        <v/>
      </c>
      <c r="E249" s="22" t="str">
        <f aca="false">IF(B249="","",IF(C249&lt;&gt;"",C249,E248+D248/1440+SUMIFS(Holds!$F$7:$F$46,Holds!$B$7:$B$46,"&gt;="&amp;E248,Holds!$B$7:$B$46,"&lt;"&amp;E248+D248/1440)/1440))</f>
        <v/>
      </c>
      <c r="F249" s="19"/>
      <c r="G249" s="19"/>
      <c r="H249" s="19"/>
      <c r="I249" s="19"/>
      <c r="J249" s="19"/>
      <c r="K249" s="19"/>
      <c r="L249" s="19"/>
      <c r="M249" s="19"/>
      <c r="N249" s="19"/>
      <c r="O249" s="18" t="str">
        <f aca="false">IF(F249="","",IFERROR(INDEX(Parts!$C$6:$C$45,MATCH(F249,Parts!$A$6:$A$45,0)),""))</f>
        <v/>
      </c>
      <c r="P249" s="18" t="str">
        <f aca="false">IF(F249="","",IFERROR(INDEX(Parts!$E$6:$E$45,MATCH(F249,Parts!$A$6:$A$45,0)),""))</f>
        <v/>
      </c>
      <c r="Q249" s="23" t="str">
        <f aca="false">IF(OR(J249="",P249="",P249=0),"",J249/P249+IF(OR(N249="",K249=""),0,IFERROR(N249/INDEX(Parts!$E$6:$E$45,MATCH(K249,Parts!$A$6:$A$45,0)),0)))</f>
        <v/>
      </c>
      <c r="R249" s="24" t="str">
        <f aca="false">IF(B249="","",IF(J249="",0,J249*IFERROR(INDEX(Parts!$F$6:$F$45,MATCH(F249,Parts!$A$6:$A$45,0)),0))+IF(N249="",0,N249*IFERROR(INDEX(Parts!$F$6:$F$45,MATCH(K249,Parts!$A$6:$A$45,0)),0)))</f>
        <v/>
      </c>
      <c r="S249" s="19"/>
      <c r="T249" s="19"/>
      <c r="U249" s="18" t="str">
        <f aca="false">IF(B249="","",IF(F249="",Settings!$B$9,IFERROR(INDEX(Parts!$H$6:$H$45,MATCH(F249,Parts!$A$6:$A$45,0))+0,Settings!$B$9)))</f>
        <v/>
      </c>
      <c r="V249" s="22" t="str">
        <f aca="false">IF(B249="","",IF(INDEX($E$7:$E$336,ROW()-6+Settings!$B$7)&lt;&gt;"",INDEX($E$7:$E$336,ROW()-6+Settings!$B$7),E249+Settings!$B$7*D249/1440))</f>
        <v/>
      </c>
      <c r="W249" s="22" t="str">
        <f aca="false">IF(B249="","",IF(INDEX($E$7:$E$336,ROW()-6+Settings!$B$7+Settings!$B$8)&lt;&gt;"",INDEX($E$7:$E$336,ROW()-6+Settings!$B$7+Settings!$B$8),E249+(Settings!$B$7+Settings!$B$8)*D249/1440)+U249/1440)</f>
        <v/>
      </c>
      <c r="X249" s="18" t="str">
        <f aca="false">IF(B249="","",IF(INDEX($E$7:$E$336,ROW()-6+Settings!$B$7+Settings!$B$8)&lt;&gt;"","line","estimate"))</f>
        <v/>
      </c>
      <c r="Y249" s="25" t="str">
        <f aca="false">IF(B249="","",INT(W249-Settings!$B$6))</f>
        <v/>
      </c>
      <c r="Z249" s="19"/>
      <c r="AA249" s="18" t="str">
        <f aca="false">IF(B249="","",IF(AND(B249&lt;&gt;"Empty",F249=""),"part missing; ","")&amp;IF(AND(F249&lt;&gt;"",J249=""),"pieces missing; ","")&amp;IF(AND(F249&lt;&gt;"",O249=""),"part not on the Parts sheet; ","")&amp;IF(AND(B249="Empty",OR(F249&lt;&gt;"",K249&lt;&gt;"")),"empty tray with parts; ","")&amp;IF(AND(B249="Loaded",K249&lt;&gt;""),"second part: type Mixed; ","")&amp;IF(AND(Q249&lt;&gt;"",N(Q249)&gt;1),"over 100 % of the spec load; ","")&amp;IF(N(R249)&gt;Settings!$B$10,"over the tray maximum (kg); ","")&amp;IF(AND(K249&lt;&gt;"",IFERROR(INDEX(Parts!$C$6:$C$45,MATCH(K249,Parts!$A$6:$A$45,0)),O249)&lt;&gt;O249),"different processes in one tray; ","")&amp;IF(AND(S249&lt;&gt;"",T249=""),"rework reason missing; ",""))</f>
        <v/>
      </c>
    </row>
    <row r="250" customFormat="false" ht="15" hidden="false" customHeight="false" outlineLevel="0" collapsed="false">
      <c r="A250" s="18" t="str">
        <f aca="false">IF(B250="","",COUNTA(B$7:B250))</f>
        <v/>
      </c>
      <c r="B250" s="19"/>
      <c r="C250" s="20"/>
      <c r="D250" s="19" t="str">
        <f aca="false">IF(B250="","",IF(D249="",Report!$B$12,D249))</f>
        <v/>
      </c>
      <c r="E250" s="22" t="str">
        <f aca="false">IF(B250="","",IF(C250&lt;&gt;"",C250,E249+D249/1440+SUMIFS(Holds!$F$7:$F$46,Holds!$B$7:$B$46,"&gt;="&amp;E249,Holds!$B$7:$B$46,"&lt;"&amp;E249+D249/1440)/1440))</f>
        <v/>
      </c>
      <c r="F250" s="19"/>
      <c r="G250" s="19"/>
      <c r="H250" s="19"/>
      <c r="I250" s="19"/>
      <c r="J250" s="19"/>
      <c r="K250" s="19"/>
      <c r="L250" s="19"/>
      <c r="M250" s="19"/>
      <c r="N250" s="19"/>
      <c r="O250" s="18" t="str">
        <f aca="false">IF(F250="","",IFERROR(INDEX(Parts!$C$6:$C$45,MATCH(F250,Parts!$A$6:$A$45,0)),""))</f>
        <v/>
      </c>
      <c r="P250" s="18" t="str">
        <f aca="false">IF(F250="","",IFERROR(INDEX(Parts!$E$6:$E$45,MATCH(F250,Parts!$A$6:$A$45,0)),""))</f>
        <v/>
      </c>
      <c r="Q250" s="23" t="str">
        <f aca="false">IF(OR(J250="",P250="",P250=0),"",J250/P250+IF(OR(N250="",K250=""),0,IFERROR(N250/INDEX(Parts!$E$6:$E$45,MATCH(K250,Parts!$A$6:$A$45,0)),0)))</f>
        <v/>
      </c>
      <c r="R250" s="24" t="str">
        <f aca="false">IF(B250="","",IF(J250="",0,J250*IFERROR(INDEX(Parts!$F$6:$F$45,MATCH(F250,Parts!$A$6:$A$45,0)),0))+IF(N250="",0,N250*IFERROR(INDEX(Parts!$F$6:$F$45,MATCH(K250,Parts!$A$6:$A$45,0)),0)))</f>
        <v/>
      </c>
      <c r="S250" s="19"/>
      <c r="T250" s="19"/>
      <c r="U250" s="18" t="str">
        <f aca="false">IF(B250="","",IF(F250="",Settings!$B$9,IFERROR(INDEX(Parts!$H$6:$H$45,MATCH(F250,Parts!$A$6:$A$45,0))+0,Settings!$B$9)))</f>
        <v/>
      </c>
      <c r="V250" s="22" t="str">
        <f aca="false">IF(B250="","",IF(INDEX($E$7:$E$336,ROW()-6+Settings!$B$7)&lt;&gt;"",INDEX($E$7:$E$336,ROW()-6+Settings!$B$7),E250+Settings!$B$7*D250/1440))</f>
        <v/>
      </c>
      <c r="W250" s="22" t="str">
        <f aca="false">IF(B250="","",IF(INDEX($E$7:$E$336,ROW()-6+Settings!$B$7+Settings!$B$8)&lt;&gt;"",INDEX($E$7:$E$336,ROW()-6+Settings!$B$7+Settings!$B$8),E250+(Settings!$B$7+Settings!$B$8)*D250/1440)+U250/1440)</f>
        <v/>
      </c>
      <c r="X250" s="18" t="str">
        <f aca="false">IF(B250="","",IF(INDEX($E$7:$E$336,ROW()-6+Settings!$B$7+Settings!$B$8)&lt;&gt;"","line","estimate"))</f>
        <v/>
      </c>
      <c r="Y250" s="25" t="str">
        <f aca="false">IF(B250="","",INT(W250-Settings!$B$6))</f>
        <v/>
      </c>
      <c r="Z250" s="19"/>
      <c r="AA250" s="18" t="str">
        <f aca="false">IF(B250="","",IF(AND(B250&lt;&gt;"Empty",F250=""),"part missing; ","")&amp;IF(AND(F250&lt;&gt;"",J250=""),"pieces missing; ","")&amp;IF(AND(F250&lt;&gt;"",O250=""),"part not on the Parts sheet; ","")&amp;IF(AND(B250="Empty",OR(F250&lt;&gt;"",K250&lt;&gt;"")),"empty tray with parts; ","")&amp;IF(AND(B250="Loaded",K250&lt;&gt;""),"second part: type Mixed; ","")&amp;IF(AND(Q250&lt;&gt;"",N(Q250)&gt;1),"over 100 % of the spec load; ","")&amp;IF(N(R250)&gt;Settings!$B$10,"over the tray maximum (kg); ","")&amp;IF(AND(K250&lt;&gt;"",IFERROR(INDEX(Parts!$C$6:$C$45,MATCH(K250,Parts!$A$6:$A$45,0)),O250)&lt;&gt;O250),"different processes in one tray; ","")&amp;IF(AND(S250&lt;&gt;"",T250=""),"rework reason missing; ",""))</f>
        <v/>
      </c>
    </row>
    <row r="251" customFormat="false" ht="15" hidden="false" customHeight="false" outlineLevel="0" collapsed="false">
      <c r="A251" s="18" t="str">
        <f aca="false">IF(B251="","",COUNTA(B$7:B251))</f>
        <v/>
      </c>
      <c r="B251" s="19"/>
      <c r="C251" s="20"/>
      <c r="D251" s="19" t="str">
        <f aca="false">IF(B251="","",IF(D250="",Report!$B$12,D250))</f>
        <v/>
      </c>
      <c r="E251" s="22" t="str">
        <f aca="false">IF(B251="","",IF(C251&lt;&gt;"",C251,E250+D250/1440+SUMIFS(Holds!$F$7:$F$46,Holds!$B$7:$B$46,"&gt;="&amp;E250,Holds!$B$7:$B$46,"&lt;"&amp;E250+D250/1440)/1440))</f>
        <v/>
      </c>
      <c r="F251" s="19"/>
      <c r="G251" s="19"/>
      <c r="H251" s="19"/>
      <c r="I251" s="19"/>
      <c r="J251" s="19"/>
      <c r="K251" s="19"/>
      <c r="L251" s="19"/>
      <c r="M251" s="19"/>
      <c r="N251" s="19"/>
      <c r="O251" s="18" t="str">
        <f aca="false">IF(F251="","",IFERROR(INDEX(Parts!$C$6:$C$45,MATCH(F251,Parts!$A$6:$A$45,0)),""))</f>
        <v/>
      </c>
      <c r="P251" s="18" t="str">
        <f aca="false">IF(F251="","",IFERROR(INDEX(Parts!$E$6:$E$45,MATCH(F251,Parts!$A$6:$A$45,0)),""))</f>
        <v/>
      </c>
      <c r="Q251" s="23" t="str">
        <f aca="false">IF(OR(J251="",P251="",P251=0),"",J251/P251+IF(OR(N251="",K251=""),0,IFERROR(N251/INDEX(Parts!$E$6:$E$45,MATCH(K251,Parts!$A$6:$A$45,0)),0)))</f>
        <v/>
      </c>
      <c r="R251" s="24" t="str">
        <f aca="false">IF(B251="","",IF(J251="",0,J251*IFERROR(INDEX(Parts!$F$6:$F$45,MATCH(F251,Parts!$A$6:$A$45,0)),0))+IF(N251="",0,N251*IFERROR(INDEX(Parts!$F$6:$F$45,MATCH(K251,Parts!$A$6:$A$45,0)),0)))</f>
        <v/>
      </c>
      <c r="S251" s="19"/>
      <c r="T251" s="19"/>
      <c r="U251" s="18" t="str">
        <f aca="false">IF(B251="","",IF(F251="",Settings!$B$9,IFERROR(INDEX(Parts!$H$6:$H$45,MATCH(F251,Parts!$A$6:$A$45,0))+0,Settings!$B$9)))</f>
        <v/>
      </c>
      <c r="V251" s="22" t="str">
        <f aca="false">IF(B251="","",IF(INDEX($E$7:$E$336,ROW()-6+Settings!$B$7)&lt;&gt;"",INDEX($E$7:$E$336,ROW()-6+Settings!$B$7),E251+Settings!$B$7*D251/1440))</f>
        <v/>
      </c>
      <c r="W251" s="22" t="str">
        <f aca="false">IF(B251="","",IF(INDEX($E$7:$E$336,ROW()-6+Settings!$B$7+Settings!$B$8)&lt;&gt;"",INDEX($E$7:$E$336,ROW()-6+Settings!$B$7+Settings!$B$8),E251+(Settings!$B$7+Settings!$B$8)*D251/1440)+U251/1440)</f>
        <v/>
      </c>
      <c r="X251" s="18" t="str">
        <f aca="false">IF(B251="","",IF(INDEX($E$7:$E$336,ROW()-6+Settings!$B$7+Settings!$B$8)&lt;&gt;"","line","estimate"))</f>
        <v/>
      </c>
      <c r="Y251" s="25" t="str">
        <f aca="false">IF(B251="","",INT(W251-Settings!$B$6))</f>
        <v/>
      </c>
      <c r="Z251" s="19"/>
      <c r="AA251" s="18" t="str">
        <f aca="false">IF(B251="","",IF(AND(B251&lt;&gt;"Empty",F251=""),"part missing; ","")&amp;IF(AND(F251&lt;&gt;"",J251=""),"pieces missing; ","")&amp;IF(AND(F251&lt;&gt;"",O251=""),"part not on the Parts sheet; ","")&amp;IF(AND(B251="Empty",OR(F251&lt;&gt;"",K251&lt;&gt;"")),"empty tray with parts; ","")&amp;IF(AND(B251="Loaded",K251&lt;&gt;""),"second part: type Mixed; ","")&amp;IF(AND(Q251&lt;&gt;"",N(Q251)&gt;1),"over 100 % of the spec load; ","")&amp;IF(N(R251)&gt;Settings!$B$10,"over the tray maximum (kg); ","")&amp;IF(AND(K251&lt;&gt;"",IFERROR(INDEX(Parts!$C$6:$C$45,MATCH(K251,Parts!$A$6:$A$45,0)),O251)&lt;&gt;O251),"different processes in one tray; ","")&amp;IF(AND(S251&lt;&gt;"",T251=""),"rework reason missing; ",""))</f>
        <v/>
      </c>
    </row>
    <row r="252" customFormat="false" ht="15" hidden="false" customHeight="false" outlineLevel="0" collapsed="false">
      <c r="A252" s="18" t="str">
        <f aca="false">IF(B252="","",COUNTA(B$7:B252))</f>
        <v/>
      </c>
      <c r="B252" s="19"/>
      <c r="C252" s="20"/>
      <c r="D252" s="19" t="str">
        <f aca="false">IF(B252="","",IF(D251="",Report!$B$12,D251))</f>
        <v/>
      </c>
      <c r="E252" s="22" t="str">
        <f aca="false">IF(B252="","",IF(C252&lt;&gt;"",C252,E251+D251/1440+SUMIFS(Holds!$F$7:$F$46,Holds!$B$7:$B$46,"&gt;="&amp;E251,Holds!$B$7:$B$46,"&lt;"&amp;E251+D251/1440)/1440))</f>
        <v/>
      </c>
      <c r="F252" s="19"/>
      <c r="G252" s="19"/>
      <c r="H252" s="19"/>
      <c r="I252" s="19"/>
      <c r="J252" s="19"/>
      <c r="K252" s="19"/>
      <c r="L252" s="19"/>
      <c r="M252" s="19"/>
      <c r="N252" s="19"/>
      <c r="O252" s="18" t="str">
        <f aca="false">IF(F252="","",IFERROR(INDEX(Parts!$C$6:$C$45,MATCH(F252,Parts!$A$6:$A$45,0)),""))</f>
        <v/>
      </c>
      <c r="P252" s="18" t="str">
        <f aca="false">IF(F252="","",IFERROR(INDEX(Parts!$E$6:$E$45,MATCH(F252,Parts!$A$6:$A$45,0)),""))</f>
        <v/>
      </c>
      <c r="Q252" s="23" t="str">
        <f aca="false">IF(OR(J252="",P252="",P252=0),"",J252/P252+IF(OR(N252="",K252=""),0,IFERROR(N252/INDEX(Parts!$E$6:$E$45,MATCH(K252,Parts!$A$6:$A$45,0)),0)))</f>
        <v/>
      </c>
      <c r="R252" s="24" t="str">
        <f aca="false">IF(B252="","",IF(J252="",0,J252*IFERROR(INDEX(Parts!$F$6:$F$45,MATCH(F252,Parts!$A$6:$A$45,0)),0))+IF(N252="",0,N252*IFERROR(INDEX(Parts!$F$6:$F$45,MATCH(K252,Parts!$A$6:$A$45,0)),0)))</f>
        <v/>
      </c>
      <c r="S252" s="19"/>
      <c r="T252" s="19"/>
      <c r="U252" s="18" t="str">
        <f aca="false">IF(B252="","",IF(F252="",Settings!$B$9,IFERROR(INDEX(Parts!$H$6:$H$45,MATCH(F252,Parts!$A$6:$A$45,0))+0,Settings!$B$9)))</f>
        <v/>
      </c>
      <c r="V252" s="22" t="str">
        <f aca="false">IF(B252="","",IF(INDEX($E$7:$E$336,ROW()-6+Settings!$B$7)&lt;&gt;"",INDEX($E$7:$E$336,ROW()-6+Settings!$B$7),E252+Settings!$B$7*D252/1440))</f>
        <v/>
      </c>
      <c r="W252" s="22" t="str">
        <f aca="false">IF(B252="","",IF(INDEX($E$7:$E$336,ROW()-6+Settings!$B$7+Settings!$B$8)&lt;&gt;"",INDEX($E$7:$E$336,ROW()-6+Settings!$B$7+Settings!$B$8),E252+(Settings!$B$7+Settings!$B$8)*D252/1440)+U252/1440)</f>
        <v/>
      </c>
      <c r="X252" s="18" t="str">
        <f aca="false">IF(B252="","",IF(INDEX($E$7:$E$336,ROW()-6+Settings!$B$7+Settings!$B$8)&lt;&gt;"","line","estimate"))</f>
        <v/>
      </c>
      <c r="Y252" s="25" t="str">
        <f aca="false">IF(B252="","",INT(W252-Settings!$B$6))</f>
        <v/>
      </c>
      <c r="Z252" s="19"/>
      <c r="AA252" s="18" t="str">
        <f aca="false">IF(B252="","",IF(AND(B252&lt;&gt;"Empty",F252=""),"part missing; ","")&amp;IF(AND(F252&lt;&gt;"",J252=""),"pieces missing; ","")&amp;IF(AND(F252&lt;&gt;"",O252=""),"part not on the Parts sheet; ","")&amp;IF(AND(B252="Empty",OR(F252&lt;&gt;"",K252&lt;&gt;"")),"empty tray with parts; ","")&amp;IF(AND(B252="Loaded",K252&lt;&gt;""),"second part: type Mixed; ","")&amp;IF(AND(Q252&lt;&gt;"",N(Q252)&gt;1),"over 100 % of the spec load; ","")&amp;IF(N(R252)&gt;Settings!$B$10,"over the tray maximum (kg); ","")&amp;IF(AND(K252&lt;&gt;"",IFERROR(INDEX(Parts!$C$6:$C$45,MATCH(K252,Parts!$A$6:$A$45,0)),O252)&lt;&gt;O252),"different processes in one tray; ","")&amp;IF(AND(S252&lt;&gt;"",T252=""),"rework reason missing; ",""))</f>
        <v/>
      </c>
    </row>
    <row r="253" customFormat="false" ht="15" hidden="false" customHeight="false" outlineLevel="0" collapsed="false">
      <c r="A253" s="18" t="str">
        <f aca="false">IF(B253="","",COUNTA(B$7:B253))</f>
        <v/>
      </c>
      <c r="B253" s="19"/>
      <c r="C253" s="20"/>
      <c r="D253" s="19" t="str">
        <f aca="false">IF(B253="","",IF(D252="",Report!$B$12,D252))</f>
        <v/>
      </c>
      <c r="E253" s="22" t="str">
        <f aca="false">IF(B253="","",IF(C253&lt;&gt;"",C253,E252+D252/1440+SUMIFS(Holds!$F$7:$F$46,Holds!$B$7:$B$46,"&gt;="&amp;E252,Holds!$B$7:$B$46,"&lt;"&amp;E252+D252/1440)/1440))</f>
        <v/>
      </c>
      <c r="F253" s="19"/>
      <c r="G253" s="19"/>
      <c r="H253" s="19"/>
      <c r="I253" s="19"/>
      <c r="J253" s="19"/>
      <c r="K253" s="19"/>
      <c r="L253" s="19"/>
      <c r="M253" s="19"/>
      <c r="N253" s="19"/>
      <c r="O253" s="18" t="str">
        <f aca="false">IF(F253="","",IFERROR(INDEX(Parts!$C$6:$C$45,MATCH(F253,Parts!$A$6:$A$45,0)),""))</f>
        <v/>
      </c>
      <c r="P253" s="18" t="str">
        <f aca="false">IF(F253="","",IFERROR(INDEX(Parts!$E$6:$E$45,MATCH(F253,Parts!$A$6:$A$45,0)),""))</f>
        <v/>
      </c>
      <c r="Q253" s="23" t="str">
        <f aca="false">IF(OR(J253="",P253="",P253=0),"",J253/P253+IF(OR(N253="",K253=""),0,IFERROR(N253/INDEX(Parts!$E$6:$E$45,MATCH(K253,Parts!$A$6:$A$45,0)),0)))</f>
        <v/>
      </c>
      <c r="R253" s="24" t="str">
        <f aca="false">IF(B253="","",IF(J253="",0,J253*IFERROR(INDEX(Parts!$F$6:$F$45,MATCH(F253,Parts!$A$6:$A$45,0)),0))+IF(N253="",0,N253*IFERROR(INDEX(Parts!$F$6:$F$45,MATCH(K253,Parts!$A$6:$A$45,0)),0)))</f>
        <v/>
      </c>
      <c r="S253" s="19"/>
      <c r="T253" s="19"/>
      <c r="U253" s="18" t="str">
        <f aca="false">IF(B253="","",IF(F253="",Settings!$B$9,IFERROR(INDEX(Parts!$H$6:$H$45,MATCH(F253,Parts!$A$6:$A$45,0))+0,Settings!$B$9)))</f>
        <v/>
      </c>
      <c r="V253" s="22" t="str">
        <f aca="false">IF(B253="","",IF(INDEX($E$7:$E$336,ROW()-6+Settings!$B$7)&lt;&gt;"",INDEX($E$7:$E$336,ROW()-6+Settings!$B$7),E253+Settings!$B$7*D253/1440))</f>
        <v/>
      </c>
      <c r="W253" s="22" t="str">
        <f aca="false">IF(B253="","",IF(INDEX($E$7:$E$336,ROW()-6+Settings!$B$7+Settings!$B$8)&lt;&gt;"",INDEX($E$7:$E$336,ROW()-6+Settings!$B$7+Settings!$B$8),E253+(Settings!$B$7+Settings!$B$8)*D253/1440)+U253/1440)</f>
        <v/>
      </c>
      <c r="X253" s="18" t="str">
        <f aca="false">IF(B253="","",IF(INDEX($E$7:$E$336,ROW()-6+Settings!$B$7+Settings!$B$8)&lt;&gt;"","line","estimate"))</f>
        <v/>
      </c>
      <c r="Y253" s="25" t="str">
        <f aca="false">IF(B253="","",INT(W253-Settings!$B$6))</f>
        <v/>
      </c>
      <c r="Z253" s="19"/>
      <c r="AA253" s="18" t="str">
        <f aca="false">IF(B253="","",IF(AND(B253&lt;&gt;"Empty",F253=""),"part missing; ","")&amp;IF(AND(F253&lt;&gt;"",J253=""),"pieces missing; ","")&amp;IF(AND(F253&lt;&gt;"",O253=""),"part not on the Parts sheet; ","")&amp;IF(AND(B253="Empty",OR(F253&lt;&gt;"",K253&lt;&gt;"")),"empty tray with parts; ","")&amp;IF(AND(B253="Loaded",K253&lt;&gt;""),"second part: type Mixed; ","")&amp;IF(AND(Q253&lt;&gt;"",N(Q253)&gt;1),"over 100 % of the spec load; ","")&amp;IF(N(R253)&gt;Settings!$B$10,"over the tray maximum (kg); ","")&amp;IF(AND(K253&lt;&gt;"",IFERROR(INDEX(Parts!$C$6:$C$45,MATCH(K253,Parts!$A$6:$A$45,0)),O253)&lt;&gt;O253),"different processes in one tray; ","")&amp;IF(AND(S253&lt;&gt;"",T253=""),"rework reason missing; ",""))</f>
        <v/>
      </c>
    </row>
    <row r="254" customFormat="false" ht="15" hidden="false" customHeight="false" outlineLevel="0" collapsed="false">
      <c r="A254" s="18" t="str">
        <f aca="false">IF(B254="","",COUNTA(B$7:B254))</f>
        <v/>
      </c>
      <c r="B254" s="19"/>
      <c r="C254" s="20"/>
      <c r="D254" s="19" t="str">
        <f aca="false">IF(B254="","",IF(D253="",Report!$B$12,D253))</f>
        <v/>
      </c>
      <c r="E254" s="22" t="str">
        <f aca="false">IF(B254="","",IF(C254&lt;&gt;"",C254,E253+D253/1440+SUMIFS(Holds!$F$7:$F$46,Holds!$B$7:$B$46,"&gt;="&amp;E253,Holds!$B$7:$B$46,"&lt;"&amp;E253+D253/1440)/1440))</f>
        <v/>
      </c>
      <c r="F254" s="19"/>
      <c r="G254" s="19"/>
      <c r="H254" s="19"/>
      <c r="I254" s="19"/>
      <c r="J254" s="19"/>
      <c r="K254" s="19"/>
      <c r="L254" s="19"/>
      <c r="M254" s="19"/>
      <c r="N254" s="19"/>
      <c r="O254" s="18" t="str">
        <f aca="false">IF(F254="","",IFERROR(INDEX(Parts!$C$6:$C$45,MATCH(F254,Parts!$A$6:$A$45,0)),""))</f>
        <v/>
      </c>
      <c r="P254" s="18" t="str">
        <f aca="false">IF(F254="","",IFERROR(INDEX(Parts!$E$6:$E$45,MATCH(F254,Parts!$A$6:$A$45,0)),""))</f>
        <v/>
      </c>
      <c r="Q254" s="23" t="str">
        <f aca="false">IF(OR(J254="",P254="",P254=0),"",J254/P254+IF(OR(N254="",K254=""),0,IFERROR(N254/INDEX(Parts!$E$6:$E$45,MATCH(K254,Parts!$A$6:$A$45,0)),0)))</f>
        <v/>
      </c>
      <c r="R254" s="24" t="str">
        <f aca="false">IF(B254="","",IF(J254="",0,J254*IFERROR(INDEX(Parts!$F$6:$F$45,MATCH(F254,Parts!$A$6:$A$45,0)),0))+IF(N254="",0,N254*IFERROR(INDEX(Parts!$F$6:$F$45,MATCH(K254,Parts!$A$6:$A$45,0)),0)))</f>
        <v/>
      </c>
      <c r="S254" s="19"/>
      <c r="T254" s="19"/>
      <c r="U254" s="18" t="str">
        <f aca="false">IF(B254="","",IF(F254="",Settings!$B$9,IFERROR(INDEX(Parts!$H$6:$H$45,MATCH(F254,Parts!$A$6:$A$45,0))+0,Settings!$B$9)))</f>
        <v/>
      </c>
      <c r="V254" s="22" t="str">
        <f aca="false">IF(B254="","",IF(INDEX($E$7:$E$336,ROW()-6+Settings!$B$7)&lt;&gt;"",INDEX($E$7:$E$336,ROW()-6+Settings!$B$7),E254+Settings!$B$7*D254/1440))</f>
        <v/>
      </c>
      <c r="W254" s="22" t="str">
        <f aca="false">IF(B254="","",IF(INDEX($E$7:$E$336,ROW()-6+Settings!$B$7+Settings!$B$8)&lt;&gt;"",INDEX($E$7:$E$336,ROW()-6+Settings!$B$7+Settings!$B$8),E254+(Settings!$B$7+Settings!$B$8)*D254/1440)+U254/1440)</f>
        <v/>
      </c>
      <c r="X254" s="18" t="str">
        <f aca="false">IF(B254="","",IF(INDEX($E$7:$E$336,ROW()-6+Settings!$B$7+Settings!$B$8)&lt;&gt;"","line","estimate"))</f>
        <v/>
      </c>
      <c r="Y254" s="25" t="str">
        <f aca="false">IF(B254="","",INT(W254-Settings!$B$6))</f>
        <v/>
      </c>
      <c r="Z254" s="19"/>
      <c r="AA254" s="18" t="str">
        <f aca="false">IF(B254="","",IF(AND(B254&lt;&gt;"Empty",F254=""),"part missing; ","")&amp;IF(AND(F254&lt;&gt;"",J254=""),"pieces missing; ","")&amp;IF(AND(F254&lt;&gt;"",O254=""),"part not on the Parts sheet; ","")&amp;IF(AND(B254="Empty",OR(F254&lt;&gt;"",K254&lt;&gt;"")),"empty tray with parts; ","")&amp;IF(AND(B254="Loaded",K254&lt;&gt;""),"second part: type Mixed; ","")&amp;IF(AND(Q254&lt;&gt;"",N(Q254)&gt;1),"over 100 % of the spec load; ","")&amp;IF(N(R254)&gt;Settings!$B$10,"over the tray maximum (kg); ","")&amp;IF(AND(K254&lt;&gt;"",IFERROR(INDEX(Parts!$C$6:$C$45,MATCH(K254,Parts!$A$6:$A$45,0)),O254)&lt;&gt;O254),"different processes in one tray; ","")&amp;IF(AND(S254&lt;&gt;"",T254=""),"rework reason missing; ",""))</f>
        <v/>
      </c>
    </row>
    <row r="255" customFormat="false" ht="15" hidden="false" customHeight="false" outlineLevel="0" collapsed="false">
      <c r="A255" s="18" t="str">
        <f aca="false">IF(B255="","",COUNTA(B$7:B255))</f>
        <v/>
      </c>
      <c r="B255" s="19"/>
      <c r="C255" s="20"/>
      <c r="D255" s="19" t="str">
        <f aca="false">IF(B255="","",IF(D254="",Report!$B$12,D254))</f>
        <v/>
      </c>
      <c r="E255" s="22" t="str">
        <f aca="false">IF(B255="","",IF(C255&lt;&gt;"",C255,E254+D254/1440+SUMIFS(Holds!$F$7:$F$46,Holds!$B$7:$B$46,"&gt;="&amp;E254,Holds!$B$7:$B$46,"&lt;"&amp;E254+D254/1440)/1440))</f>
        <v/>
      </c>
      <c r="F255" s="19"/>
      <c r="G255" s="19"/>
      <c r="H255" s="19"/>
      <c r="I255" s="19"/>
      <c r="J255" s="19"/>
      <c r="K255" s="19"/>
      <c r="L255" s="19"/>
      <c r="M255" s="19"/>
      <c r="N255" s="19"/>
      <c r="O255" s="18" t="str">
        <f aca="false">IF(F255="","",IFERROR(INDEX(Parts!$C$6:$C$45,MATCH(F255,Parts!$A$6:$A$45,0)),""))</f>
        <v/>
      </c>
      <c r="P255" s="18" t="str">
        <f aca="false">IF(F255="","",IFERROR(INDEX(Parts!$E$6:$E$45,MATCH(F255,Parts!$A$6:$A$45,0)),""))</f>
        <v/>
      </c>
      <c r="Q255" s="23" t="str">
        <f aca="false">IF(OR(J255="",P255="",P255=0),"",J255/P255+IF(OR(N255="",K255=""),0,IFERROR(N255/INDEX(Parts!$E$6:$E$45,MATCH(K255,Parts!$A$6:$A$45,0)),0)))</f>
        <v/>
      </c>
      <c r="R255" s="24" t="str">
        <f aca="false">IF(B255="","",IF(J255="",0,J255*IFERROR(INDEX(Parts!$F$6:$F$45,MATCH(F255,Parts!$A$6:$A$45,0)),0))+IF(N255="",0,N255*IFERROR(INDEX(Parts!$F$6:$F$45,MATCH(K255,Parts!$A$6:$A$45,0)),0)))</f>
        <v/>
      </c>
      <c r="S255" s="19"/>
      <c r="T255" s="19"/>
      <c r="U255" s="18" t="str">
        <f aca="false">IF(B255="","",IF(F255="",Settings!$B$9,IFERROR(INDEX(Parts!$H$6:$H$45,MATCH(F255,Parts!$A$6:$A$45,0))+0,Settings!$B$9)))</f>
        <v/>
      </c>
      <c r="V255" s="22" t="str">
        <f aca="false">IF(B255="","",IF(INDEX($E$7:$E$336,ROW()-6+Settings!$B$7)&lt;&gt;"",INDEX($E$7:$E$336,ROW()-6+Settings!$B$7),E255+Settings!$B$7*D255/1440))</f>
        <v/>
      </c>
      <c r="W255" s="22" t="str">
        <f aca="false">IF(B255="","",IF(INDEX($E$7:$E$336,ROW()-6+Settings!$B$7+Settings!$B$8)&lt;&gt;"",INDEX($E$7:$E$336,ROW()-6+Settings!$B$7+Settings!$B$8),E255+(Settings!$B$7+Settings!$B$8)*D255/1440)+U255/1440)</f>
        <v/>
      </c>
      <c r="X255" s="18" t="str">
        <f aca="false">IF(B255="","",IF(INDEX($E$7:$E$336,ROW()-6+Settings!$B$7+Settings!$B$8)&lt;&gt;"","line","estimate"))</f>
        <v/>
      </c>
      <c r="Y255" s="25" t="str">
        <f aca="false">IF(B255="","",INT(W255-Settings!$B$6))</f>
        <v/>
      </c>
      <c r="Z255" s="19"/>
      <c r="AA255" s="18" t="str">
        <f aca="false">IF(B255="","",IF(AND(B255&lt;&gt;"Empty",F255=""),"part missing; ","")&amp;IF(AND(F255&lt;&gt;"",J255=""),"pieces missing; ","")&amp;IF(AND(F255&lt;&gt;"",O255=""),"part not on the Parts sheet; ","")&amp;IF(AND(B255="Empty",OR(F255&lt;&gt;"",K255&lt;&gt;"")),"empty tray with parts; ","")&amp;IF(AND(B255="Loaded",K255&lt;&gt;""),"second part: type Mixed; ","")&amp;IF(AND(Q255&lt;&gt;"",N(Q255)&gt;1),"over 100 % of the spec load; ","")&amp;IF(N(R255)&gt;Settings!$B$10,"over the tray maximum (kg); ","")&amp;IF(AND(K255&lt;&gt;"",IFERROR(INDEX(Parts!$C$6:$C$45,MATCH(K255,Parts!$A$6:$A$45,0)),O255)&lt;&gt;O255),"different processes in one tray; ","")&amp;IF(AND(S255&lt;&gt;"",T255=""),"rework reason missing; ",""))</f>
        <v/>
      </c>
    </row>
    <row r="256" customFormat="false" ht="15" hidden="false" customHeight="false" outlineLevel="0" collapsed="false">
      <c r="A256" s="18" t="str">
        <f aca="false">IF(B256="","",COUNTA(B$7:B256))</f>
        <v/>
      </c>
      <c r="B256" s="19"/>
      <c r="C256" s="20"/>
      <c r="D256" s="19" t="str">
        <f aca="false">IF(B256="","",IF(D255="",Report!$B$12,D255))</f>
        <v/>
      </c>
      <c r="E256" s="22" t="str">
        <f aca="false">IF(B256="","",IF(C256&lt;&gt;"",C256,E255+D255/1440+SUMIFS(Holds!$F$7:$F$46,Holds!$B$7:$B$46,"&gt;="&amp;E255,Holds!$B$7:$B$46,"&lt;"&amp;E255+D255/1440)/1440))</f>
        <v/>
      </c>
      <c r="F256" s="19"/>
      <c r="G256" s="19"/>
      <c r="H256" s="19"/>
      <c r="I256" s="19"/>
      <c r="J256" s="19"/>
      <c r="K256" s="19"/>
      <c r="L256" s="19"/>
      <c r="M256" s="19"/>
      <c r="N256" s="19"/>
      <c r="O256" s="18" t="str">
        <f aca="false">IF(F256="","",IFERROR(INDEX(Parts!$C$6:$C$45,MATCH(F256,Parts!$A$6:$A$45,0)),""))</f>
        <v/>
      </c>
      <c r="P256" s="18" t="str">
        <f aca="false">IF(F256="","",IFERROR(INDEX(Parts!$E$6:$E$45,MATCH(F256,Parts!$A$6:$A$45,0)),""))</f>
        <v/>
      </c>
      <c r="Q256" s="23" t="str">
        <f aca="false">IF(OR(J256="",P256="",P256=0),"",J256/P256+IF(OR(N256="",K256=""),0,IFERROR(N256/INDEX(Parts!$E$6:$E$45,MATCH(K256,Parts!$A$6:$A$45,0)),0)))</f>
        <v/>
      </c>
      <c r="R256" s="24" t="str">
        <f aca="false">IF(B256="","",IF(J256="",0,J256*IFERROR(INDEX(Parts!$F$6:$F$45,MATCH(F256,Parts!$A$6:$A$45,0)),0))+IF(N256="",0,N256*IFERROR(INDEX(Parts!$F$6:$F$45,MATCH(K256,Parts!$A$6:$A$45,0)),0)))</f>
        <v/>
      </c>
      <c r="S256" s="19"/>
      <c r="T256" s="19"/>
      <c r="U256" s="18" t="str">
        <f aca="false">IF(B256="","",IF(F256="",Settings!$B$9,IFERROR(INDEX(Parts!$H$6:$H$45,MATCH(F256,Parts!$A$6:$A$45,0))+0,Settings!$B$9)))</f>
        <v/>
      </c>
      <c r="V256" s="22" t="str">
        <f aca="false">IF(B256="","",IF(INDEX($E$7:$E$336,ROW()-6+Settings!$B$7)&lt;&gt;"",INDEX($E$7:$E$336,ROW()-6+Settings!$B$7),E256+Settings!$B$7*D256/1440))</f>
        <v/>
      </c>
      <c r="W256" s="22" t="str">
        <f aca="false">IF(B256="","",IF(INDEX($E$7:$E$336,ROW()-6+Settings!$B$7+Settings!$B$8)&lt;&gt;"",INDEX($E$7:$E$336,ROW()-6+Settings!$B$7+Settings!$B$8),E256+(Settings!$B$7+Settings!$B$8)*D256/1440)+U256/1440)</f>
        <v/>
      </c>
      <c r="X256" s="18" t="str">
        <f aca="false">IF(B256="","",IF(INDEX($E$7:$E$336,ROW()-6+Settings!$B$7+Settings!$B$8)&lt;&gt;"","line","estimate"))</f>
        <v/>
      </c>
      <c r="Y256" s="25" t="str">
        <f aca="false">IF(B256="","",INT(W256-Settings!$B$6))</f>
        <v/>
      </c>
      <c r="Z256" s="19"/>
      <c r="AA256" s="18" t="str">
        <f aca="false">IF(B256="","",IF(AND(B256&lt;&gt;"Empty",F256=""),"part missing; ","")&amp;IF(AND(F256&lt;&gt;"",J256=""),"pieces missing; ","")&amp;IF(AND(F256&lt;&gt;"",O256=""),"part not on the Parts sheet; ","")&amp;IF(AND(B256="Empty",OR(F256&lt;&gt;"",K256&lt;&gt;"")),"empty tray with parts; ","")&amp;IF(AND(B256="Loaded",K256&lt;&gt;""),"second part: type Mixed; ","")&amp;IF(AND(Q256&lt;&gt;"",N(Q256)&gt;1),"over 100 % of the spec load; ","")&amp;IF(N(R256)&gt;Settings!$B$10,"over the tray maximum (kg); ","")&amp;IF(AND(K256&lt;&gt;"",IFERROR(INDEX(Parts!$C$6:$C$45,MATCH(K256,Parts!$A$6:$A$45,0)),O256)&lt;&gt;O256),"different processes in one tray; ","")&amp;IF(AND(S256&lt;&gt;"",T256=""),"rework reason missing; ",""))</f>
        <v/>
      </c>
    </row>
    <row r="257" customFormat="false" ht="15" hidden="false" customHeight="false" outlineLevel="0" collapsed="false">
      <c r="A257" s="18" t="str">
        <f aca="false">IF(B257="","",COUNTA(B$7:B257))</f>
        <v/>
      </c>
      <c r="B257" s="19"/>
      <c r="C257" s="20"/>
      <c r="D257" s="19" t="str">
        <f aca="false">IF(B257="","",IF(D256="",Report!$B$12,D256))</f>
        <v/>
      </c>
      <c r="E257" s="22" t="str">
        <f aca="false">IF(B257="","",IF(C257&lt;&gt;"",C257,E256+D256/1440+SUMIFS(Holds!$F$7:$F$46,Holds!$B$7:$B$46,"&gt;="&amp;E256,Holds!$B$7:$B$46,"&lt;"&amp;E256+D256/1440)/1440))</f>
        <v/>
      </c>
      <c r="F257" s="19"/>
      <c r="G257" s="19"/>
      <c r="H257" s="19"/>
      <c r="I257" s="19"/>
      <c r="J257" s="19"/>
      <c r="K257" s="19"/>
      <c r="L257" s="19"/>
      <c r="M257" s="19"/>
      <c r="N257" s="19"/>
      <c r="O257" s="18" t="str">
        <f aca="false">IF(F257="","",IFERROR(INDEX(Parts!$C$6:$C$45,MATCH(F257,Parts!$A$6:$A$45,0)),""))</f>
        <v/>
      </c>
      <c r="P257" s="18" t="str">
        <f aca="false">IF(F257="","",IFERROR(INDEX(Parts!$E$6:$E$45,MATCH(F257,Parts!$A$6:$A$45,0)),""))</f>
        <v/>
      </c>
      <c r="Q257" s="23" t="str">
        <f aca="false">IF(OR(J257="",P257="",P257=0),"",J257/P257+IF(OR(N257="",K257=""),0,IFERROR(N257/INDEX(Parts!$E$6:$E$45,MATCH(K257,Parts!$A$6:$A$45,0)),0)))</f>
        <v/>
      </c>
      <c r="R257" s="24" t="str">
        <f aca="false">IF(B257="","",IF(J257="",0,J257*IFERROR(INDEX(Parts!$F$6:$F$45,MATCH(F257,Parts!$A$6:$A$45,0)),0))+IF(N257="",0,N257*IFERROR(INDEX(Parts!$F$6:$F$45,MATCH(K257,Parts!$A$6:$A$45,0)),0)))</f>
        <v/>
      </c>
      <c r="S257" s="19"/>
      <c r="T257" s="19"/>
      <c r="U257" s="18" t="str">
        <f aca="false">IF(B257="","",IF(F257="",Settings!$B$9,IFERROR(INDEX(Parts!$H$6:$H$45,MATCH(F257,Parts!$A$6:$A$45,0))+0,Settings!$B$9)))</f>
        <v/>
      </c>
      <c r="V257" s="22" t="str">
        <f aca="false">IF(B257="","",IF(INDEX($E$7:$E$336,ROW()-6+Settings!$B$7)&lt;&gt;"",INDEX($E$7:$E$336,ROW()-6+Settings!$B$7),E257+Settings!$B$7*D257/1440))</f>
        <v/>
      </c>
      <c r="W257" s="22" t="str">
        <f aca="false">IF(B257="","",IF(INDEX($E$7:$E$336,ROW()-6+Settings!$B$7+Settings!$B$8)&lt;&gt;"",INDEX($E$7:$E$336,ROW()-6+Settings!$B$7+Settings!$B$8),E257+(Settings!$B$7+Settings!$B$8)*D257/1440)+U257/1440)</f>
        <v/>
      </c>
      <c r="X257" s="18" t="str">
        <f aca="false">IF(B257="","",IF(INDEX($E$7:$E$336,ROW()-6+Settings!$B$7+Settings!$B$8)&lt;&gt;"","line","estimate"))</f>
        <v/>
      </c>
      <c r="Y257" s="25" t="str">
        <f aca="false">IF(B257="","",INT(W257-Settings!$B$6))</f>
        <v/>
      </c>
      <c r="Z257" s="19"/>
      <c r="AA257" s="18" t="str">
        <f aca="false">IF(B257="","",IF(AND(B257&lt;&gt;"Empty",F257=""),"part missing; ","")&amp;IF(AND(F257&lt;&gt;"",J257=""),"pieces missing; ","")&amp;IF(AND(F257&lt;&gt;"",O257=""),"part not on the Parts sheet; ","")&amp;IF(AND(B257="Empty",OR(F257&lt;&gt;"",K257&lt;&gt;"")),"empty tray with parts; ","")&amp;IF(AND(B257="Loaded",K257&lt;&gt;""),"second part: type Mixed; ","")&amp;IF(AND(Q257&lt;&gt;"",N(Q257)&gt;1),"over 100 % of the spec load; ","")&amp;IF(N(R257)&gt;Settings!$B$10,"over the tray maximum (kg); ","")&amp;IF(AND(K257&lt;&gt;"",IFERROR(INDEX(Parts!$C$6:$C$45,MATCH(K257,Parts!$A$6:$A$45,0)),O257)&lt;&gt;O257),"different processes in one tray; ","")&amp;IF(AND(S257&lt;&gt;"",T257=""),"rework reason missing; ",""))</f>
        <v/>
      </c>
    </row>
    <row r="258" customFormat="false" ht="15" hidden="false" customHeight="false" outlineLevel="0" collapsed="false">
      <c r="A258" s="18" t="str">
        <f aca="false">IF(B258="","",COUNTA(B$7:B258))</f>
        <v/>
      </c>
      <c r="B258" s="19"/>
      <c r="C258" s="20"/>
      <c r="D258" s="19" t="str">
        <f aca="false">IF(B258="","",IF(D257="",Report!$B$12,D257))</f>
        <v/>
      </c>
      <c r="E258" s="22" t="str">
        <f aca="false">IF(B258="","",IF(C258&lt;&gt;"",C258,E257+D257/1440+SUMIFS(Holds!$F$7:$F$46,Holds!$B$7:$B$46,"&gt;="&amp;E257,Holds!$B$7:$B$46,"&lt;"&amp;E257+D257/1440)/1440))</f>
        <v/>
      </c>
      <c r="F258" s="19"/>
      <c r="G258" s="19"/>
      <c r="H258" s="19"/>
      <c r="I258" s="19"/>
      <c r="J258" s="19"/>
      <c r="K258" s="19"/>
      <c r="L258" s="19"/>
      <c r="M258" s="19"/>
      <c r="N258" s="19"/>
      <c r="O258" s="18" t="str">
        <f aca="false">IF(F258="","",IFERROR(INDEX(Parts!$C$6:$C$45,MATCH(F258,Parts!$A$6:$A$45,0)),""))</f>
        <v/>
      </c>
      <c r="P258" s="18" t="str">
        <f aca="false">IF(F258="","",IFERROR(INDEX(Parts!$E$6:$E$45,MATCH(F258,Parts!$A$6:$A$45,0)),""))</f>
        <v/>
      </c>
      <c r="Q258" s="23" t="str">
        <f aca="false">IF(OR(J258="",P258="",P258=0),"",J258/P258+IF(OR(N258="",K258=""),0,IFERROR(N258/INDEX(Parts!$E$6:$E$45,MATCH(K258,Parts!$A$6:$A$45,0)),0)))</f>
        <v/>
      </c>
      <c r="R258" s="24" t="str">
        <f aca="false">IF(B258="","",IF(J258="",0,J258*IFERROR(INDEX(Parts!$F$6:$F$45,MATCH(F258,Parts!$A$6:$A$45,0)),0))+IF(N258="",0,N258*IFERROR(INDEX(Parts!$F$6:$F$45,MATCH(K258,Parts!$A$6:$A$45,0)),0)))</f>
        <v/>
      </c>
      <c r="S258" s="19"/>
      <c r="T258" s="19"/>
      <c r="U258" s="18" t="str">
        <f aca="false">IF(B258="","",IF(F258="",Settings!$B$9,IFERROR(INDEX(Parts!$H$6:$H$45,MATCH(F258,Parts!$A$6:$A$45,0))+0,Settings!$B$9)))</f>
        <v/>
      </c>
      <c r="V258" s="22" t="str">
        <f aca="false">IF(B258="","",IF(INDEX($E$7:$E$336,ROW()-6+Settings!$B$7)&lt;&gt;"",INDEX($E$7:$E$336,ROW()-6+Settings!$B$7),E258+Settings!$B$7*D258/1440))</f>
        <v/>
      </c>
      <c r="W258" s="22" t="str">
        <f aca="false">IF(B258="","",IF(INDEX($E$7:$E$336,ROW()-6+Settings!$B$7+Settings!$B$8)&lt;&gt;"",INDEX($E$7:$E$336,ROW()-6+Settings!$B$7+Settings!$B$8),E258+(Settings!$B$7+Settings!$B$8)*D258/1440)+U258/1440)</f>
        <v/>
      </c>
      <c r="X258" s="18" t="str">
        <f aca="false">IF(B258="","",IF(INDEX($E$7:$E$336,ROW()-6+Settings!$B$7+Settings!$B$8)&lt;&gt;"","line","estimate"))</f>
        <v/>
      </c>
      <c r="Y258" s="25" t="str">
        <f aca="false">IF(B258="","",INT(W258-Settings!$B$6))</f>
        <v/>
      </c>
      <c r="Z258" s="19"/>
      <c r="AA258" s="18" t="str">
        <f aca="false">IF(B258="","",IF(AND(B258&lt;&gt;"Empty",F258=""),"part missing; ","")&amp;IF(AND(F258&lt;&gt;"",J258=""),"pieces missing; ","")&amp;IF(AND(F258&lt;&gt;"",O258=""),"part not on the Parts sheet; ","")&amp;IF(AND(B258="Empty",OR(F258&lt;&gt;"",K258&lt;&gt;"")),"empty tray with parts; ","")&amp;IF(AND(B258="Loaded",K258&lt;&gt;""),"second part: type Mixed; ","")&amp;IF(AND(Q258&lt;&gt;"",N(Q258)&gt;1),"over 100 % of the spec load; ","")&amp;IF(N(R258)&gt;Settings!$B$10,"over the tray maximum (kg); ","")&amp;IF(AND(K258&lt;&gt;"",IFERROR(INDEX(Parts!$C$6:$C$45,MATCH(K258,Parts!$A$6:$A$45,0)),O258)&lt;&gt;O258),"different processes in one tray; ","")&amp;IF(AND(S258&lt;&gt;"",T258=""),"rework reason missing; ",""))</f>
        <v/>
      </c>
    </row>
    <row r="259" customFormat="false" ht="15" hidden="false" customHeight="false" outlineLevel="0" collapsed="false">
      <c r="A259" s="18" t="str">
        <f aca="false">IF(B259="","",COUNTA(B$7:B259))</f>
        <v/>
      </c>
      <c r="B259" s="19"/>
      <c r="C259" s="20"/>
      <c r="D259" s="19" t="str">
        <f aca="false">IF(B259="","",IF(D258="",Report!$B$12,D258))</f>
        <v/>
      </c>
      <c r="E259" s="22" t="str">
        <f aca="false">IF(B259="","",IF(C259&lt;&gt;"",C259,E258+D258/1440+SUMIFS(Holds!$F$7:$F$46,Holds!$B$7:$B$46,"&gt;="&amp;E258,Holds!$B$7:$B$46,"&lt;"&amp;E258+D258/1440)/1440))</f>
        <v/>
      </c>
      <c r="F259" s="19"/>
      <c r="G259" s="19"/>
      <c r="H259" s="19"/>
      <c r="I259" s="19"/>
      <c r="J259" s="19"/>
      <c r="K259" s="19"/>
      <c r="L259" s="19"/>
      <c r="M259" s="19"/>
      <c r="N259" s="19"/>
      <c r="O259" s="18" t="str">
        <f aca="false">IF(F259="","",IFERROR(INDEX(Parts!$C$6:$C$45,MATCH(F259,Parts!$A$6:$A$45,0)),""))</f>
        <v/>
      </c>
      <c r="P259" s="18" t="str">
        <f aca="false">IF(F259="","",IFERROR(INDEX(Parts!$E$6:$E$45,MATCH(F259,Parts!$A$6:$A$45,0)),""))</f>
        <v/>
      </c>
      <c r="Q259" s="23" t="str">
        <f aca="false">IF(OR(J259="",P259="",P259=0),"",J259/P259+IF(OR(N259="",K259=""),0,IFERROR(N259/INDEX(Parts!$E$6:$E$45,MATCH(K259,Parts!$A$6:$A$45,0)),0)))</f>
        <v/>
      </c>
      <c r="R259" s="24" t="str">
        <f aca="false">IF(B259="","",IF(J259="",0,J259*IFERROR(INDEX(Parts!$F$6:$F$45,MATCH(F259,Parts!$A$6:$A$45,0)),0))+IF(N259="",0,N259*IFERROR(INDEX(Parts!$F$6:$F$45,MATCH(K259,Parts!$A$6:$A$45,0)),0)))</f>
        <v/>
      </c>
      <c r="S259" s="19"/>
      <c r="T259" s="19"/>
      <c r="U259" s="18" t="str">
        <f aca="false">IF(B259="","",IF(F259="",Settings!$B$9,IFERROR(INDEX(Parts!$H$6:$H$45,MATCH(F259,Parts!$A$6:$A$45,0))+0,Settings!$B$9)))</f>
        <v/>
      </c>
      <c r="V259" s="22" t="str">
        <f aca="false">IF(B259="","",IF(INDEX($E$7:$E$336,ROW()-6+Settings!$B$7)&lt;&gt;"",INDEX($E$7:$E$336,ROW()-6+Settings!$B$7),E259+Settings!$B$7*D259/1440))</f>
        <v/>
      </c>
      <c r="W259" s="22" t="str">
        <f aca="false">IF(B259="","",IF(INDEX($E$7:$E$336,ROW()-6+Settings!$B$7+Settings!$B$8)&lt;&gt;"",INDEX($E$7:$E$336,ROW()-6+Settings!$B$7+Settings!$B$8),E259+(Settings!$B$7+Settings!$B$8)*D259/1440)+U259/1440)</f>
        <v/>
      </c>
      <c r="X259" s="18" t="str">
        <f aca="false">IF(B259="","",IF(INDEX($E$7:$E$336,ROW()-6+Settings!$B$7+Settings!$B$8)&lt;&gt;"","line","estimate"))</f>
        <v/>
      </c>
      <c r="Y259" s="25" t="str">
        <f aca="false">IF(B259="","",INT(W259-Settings!$B$6))</f>
        <v/>
      </c>
      <c r="Z259" s="19"/>
      <c r="AA259" s="18" t="str">
        <f aca="false">IF(B259="","",IF(AND(B259&lt;&gt;"Empty",F259=""),"part missing; ","")&amp;IF(AND(F259&lt;&gt;"",J259=""),"pieces missing; ","")&amp;IF(AND(F259&lt;&gt;"",O259=""),"part not on the Parts sheet; ","")&amp;IF(AND(B259="Empty",OR(F259&lt;&gt;"",K259&lt;&gt;"")),"empty tray with parts; ","")&amp;IF(AND(B259="Loaded",K259&lt;&gt;""),"second part: type Mixed; ","")&amp;IF(AND(Q259&lt;&gt;"",N(Q259)&gt;1),"over 100 % of the spec load; ","")&amp;IF(N(R259)&gt;Settings!$B$10,"over the tray maximum (kg); ","")&amp;IF(AND(K259&lt;&gt;"",IFERROR(INDEX(Parts!$C$6:$C$45,MATCH(K259,Parts!$A$6:$A$45,0)),O259)&lt;&gt;O259),"different processes in one tray; ","")&amp;IF(AND(S259&lt;&gt;"",T259=""),"rework reason missing; ",""))</f>
        <v/>
      </c>
    </row>
    <row r="260" customFormat="false" ht="15" hidden="false" customHeight="false" outlineLevel="0" collapsed="false">
      <c r="A260" s="18" t="str">
        <f aca="false">IF(B260="","",COUNTA(B$7:B260))</f>
        <v/>
      </c>
      <c r="B260" s="19"/>
      <c r="C260" s="20"/>
      <c r="D260" s="19" t="str">
        <f aca="false">IF(B260="","",IF(D259="",Report!$B$12,D259))</f>
        <v/>
      </c>
      <c r="E260" s="22" t="str">
        <f aca="false">IF(B260="","",IF(C260&lt;&gt;"",C260,E259+D259/1440+SUMIFS(Holds!$F$7:$F$46,Holds!$B$7:$B$46,"&gt;="&amp;E259,Holds!$B$7:$B$46,"&lt;"&amp;E259+D259/1440)/1440))</f>
        <v/>
      </c>
      <c r="F260" s="19"/>
      <c r="G260" s="19"/>
      <c r="H260" s="19"/>
      <c r="I260" s="19"/>
      <c r="J260" s="19"/>
      <c r="K260" s="19"/>
      <c r="L260" s="19"/>
      <c r="M260" s="19"/>
      <c r="N260" s="19"/>
      <c r="O260" s="18" t="str">
        <f aca="false">IF(F260="","",IFERROR(INDEX(Parts!$C$6:$C$45,MATCH(F260,Parts!$A$6:$A$45,0)),""))</f>
        <v/>
      </c>
      <c r="P260" s="18" t="str">
        <f aca="false">IF(F260="","",IFERROR(INDEX(Parts!$E$6:$E$45,MATCH(F260,Parts!$A$6:$A$45,0)),""))</f>
        <v/>
      </c>
      <c r="Q260" s="23" t="str">
        <f aca="false">IF(OR(J260="",P260="",P260=0),"",J260/P260+IF(OR(N260="",K260=""),0,IFERROR(N260/INDEX(Parts!$E$6:$E$45,MATCH(K260,Parts!$A$6:$A$45,0)),0)))</f>
        <v/>
      </c>
      <c r="R260" s="24" t="str">
        <f aca="false">IF(B260="","",IF(J260="",0,J260*IFERROR(INDEX(Parts!$F$6:$F$45,MATCH(F260,Parts!$A$6:$A$45,0)),0))+IF(N260="",0,N260*IFERROR(INDEX(Parts!$F$6:$F$45,MATCH(K260,Parts!$A$6:$A$45,0)),0)))</f>
        <v/>
      </c>
      <c r="S260" s="19"/>
      <c r="T260" s="19"/>
      <c r="U260" s="18" t="str">
        <f aca="false">IF(B260="","",IF(F260="",Settings!$B$9,IFERROR(INDEX(Parts!$H$6:$H$45,MATCH(F260,Parts!$A$6:$A$45,0))+0,Settings!$B$9)))</f>
        <v/>
      </c>
      <c r="V260" s="22" t="str">
        <f aca="false">IF(B260="","",IF(INDEX($E$7:$E$336,ROW()-6+Settings!$B$7)&lt;&gt;"",INDEX($E$7:$E$336,ROW()-6+Settings!$B$7),E260+Settings!$B$7*D260/1440))</f>
        <v/>
      </c>
      <c r="W260" s="22" t="str">
        <f aca="false">IF(B260="","",IF(INDEX($E$7:$E$336,ROW()-6+Settings!$B$7+Settings!$B$8)&lt;&gt;"",INDEX($E$7:$E$336,ROW()-6+Settings!$B$7+Settings!$B$8),E260+(Settings!$B$7+Settings!$B$8)*D260/1440)+U260/1440)</f>
        <v/>
      </c>
      <c r="X260" s="18" t="str">
        <f aca="false">IF(B260="","",IF(INDEX($E$7:$E$336,ROW()-6+Settings!$B$7+Settings!$B$8)&lt;&gt;"","line","estimate"))</f>
        <v/>
      </c>
      <c r="Y260" s="25" t="str">
        <f aca="false">IF(B260="","",INT(W260-Settings!$B$6))</f>
        <v/>
      </c>
      <c r="Z260" s="19"/>
      <c r="AA260" s="18" t="str">
        <f aca="false">IF(B260="","",IF(AND(B260&lt;&gt;"Empty",F260=""),"part missing; ","")&amp;IF(AND(F260&lt;&gt;"",J260=""),"pieces missing; ","")&amp;IF(AND(F260&lt;&gt;"",O260=""),"part not on the Parts sheet; ","")&amp;IF(AND(B260="Empty",OR(F260&lt;&gt;"",K260&lt;&gt;"")),"empty tray with parts; ","")&amp;IF(AND(B260="Loaded",K260&lt;&gt;""),"second part: type Mixed; ","")&amp;IF(AND(Q260&lt;&gt;"",N(Q260)&gt;1),"over 100 % of the spec load; ","")&amp;IF(N(R260)&gt;Settings!$B$10,"over the tray maximum (kg); ","")&amp;IF(AND(K260&lt;&gt;"",IFERROR(INDEX(Parts!$C$6:$C$45,MATCH(K260,Parts!$A$6:$A$45,0)),O260)&lt;&gt;O260),"different processes in one tray; ","")&amp;IF(AND(S260&lt;&gt;"",T260=""),"rework reason missing; ",""))</f>
        <v/>
      </c>
    </row>
    <row r="261" customFormat="false" ht="15" hidden="false" customHeight="false" outlineLevel="0" collapsed="false">
      <c r="A261" s="18" t="str">
        <f aca="false">IF(B261="","",COUNTA(B$7:B261))</f>
        <v/>
      </c>
      <c r="B261" s="19"/>
      <c r="C261" s="20"/>
      <c r="D261" s="19" t="str">
        <f aca="false">IF(B261="","",IF(D260="",Report!$B$12,D260))</f>
        <v/>
      </c>
      <c r="E261" s="22" t="str">
        <f aca="false">IF(B261="","",IF(C261&lt;&gt;"",C261,E260+D260/1440+SUMIFS(Holds!$F$7:$F$46,Holds!$B$7:$B$46,"&gt;="&amp;E260,Holds!$B$7:$B$46,"&lt;"&amp;E260+D260/1440)/1440))</f>
        <v/>
      </c>
      <c r="F261" s="19"/>
      <c r="G261" s="19"/>
      <c r="H261" s="19"/>
      <c r="I261" s="19"/>
      <c r="J261" s="19"/>
      <c r="K261" s="19"/>
      <c r="L261" s="19"/>
      <c r="M261" s="19"/>
      <c r="N261" s="19"/>
      <c r="O261" s="18" t="str">
        <f aca="false">IF(F261="","",IFERROR(INDEX(Parts!$C$6:$C$45,MATCH(F261,Parts!$A$6:$A$45,0)),""))</f>
        <v/>
      </c>
      <c r="P261" s="18" t="str">
        <f aca="false">IF(F261="","",IFERROR(INDEX(Parts!$E$6:$E$45,MATCH(F261,Parts!$A$6:$A$45,0)),""))</f>
        <v/>
      </c>
      <c r="Q261" s="23" t="str">
        <f aca="false">IF(OR(J261="",P261="",P261=0),"",J261/P261+IF(OR(N261="",K261=""),0,IFERROR(N261/INDEX(Parts!$E$6:$E$45,MATCH(K261,Parts!$A$6:$A$45,0)),0)))</f>
        <v/>
      </c>
      <c r="R261" s="24" t="str">
        <f aca="false">IF(B261="","",IF(J261="",0,J261*IFERROR(INDEX(Parts!$F$6:$F$45,MATCH(F261,Parts!$A$6:$A$45,0)),0))+IF(N261="",0,N261*IFERROR(INDEX(Parts!$F$6:$F$45,MATCH(K261,Parts!$A$6:$A$45,0)),0)))</f>
        <v/>
      </c>
      <c r="S261" s="19"/>
      <c r="T261" s="19"/>
      <c r="U261" s="18" t="str">
        <f aca="false">IF(B261="","",IF(F261="",Settings!$B$9,IFERROR(INDEX(Parts!$H$6:$H$45,MATCH(F261,Parts!$A$6:$A$45,0))+0,Settings!$B$9)))</f>
        <v/>
      </c>
      <c r="V261" s="22" t="str">
        <f aca="false">IF(B261="","",IF(INDEX($E$7:$E$336,ROW()-6+Settings!$B$7)&lt;&gt;"",INDEX($E$7:$E$336,ROW()-6+Settings!$B$7),E261+Settings!$B$7*D261/1440))</f>
        <v/>
      </c>
      <c r="W261" s="22" t="str">
        <f aca="false">IF(B261="","",IF(INDEX($E$7:$E$336,ROW()-6+Settings!$B$7+Settings!$B$8)&lt;&gt;"",INDEX($E$7:$E$336,ROW()-6+Settings!$B$7+Settings!$B$8),E261+(Settings!$B$7+Settings!$B$8)*D261/1440)+U261/1440)</f>
        <v/>
      </c>
      <c r="X261" s="18" t="str">
        <f aca="false">IF(B261="","",IF(INDEX($E$7:$E$336,ROW()-6+Settings!$B$7+Settings!$B$8)&lt;&gt;"","line","estimate"))</f>
        <v/>
      </c>
      <c r="Y261" s="25" t="str">
        <f aca="false">IF(B261="","",INT(W261-Settings!$B$6))</f>
        <v/>
      </c>
      <c r="Z261" s="19"/>
      <c r="AA261" s="18" t="str">
        <f aca="false">IF(B261="","",IF(AND(B261&lt;&gt;"Empty",F261=""),"part missing; ","")&amp;IF(AND(F261&lt;&gt;"",J261=""),"pieces missing; ","")&amp;IF(AND(F261&lt;&gt;"",O261=""),"part not on the Parts sheet; ","")&amp;IF(AND(B261="Empty",OR(F261&lt;&gt;"",K261&lt;&gt;"")),"empty tray with parts; ","")&amp;IF(AND(B261="Loaded",K261&lt;&gt;""),"second part: type Mixed; ","")&amp;IF(AND(Q261&lt;&gt;"",N(Q261)&gt;1),"over 100 % of the spec load; ","")&amp;IF(N(R261)&gt;Settings!$B$10,"over the tray maximum (kg); ","")&amp;IF(AND(K261&lt;&gt;"",IFERROR(INDEX(Parts!$C$6:$C$45,MATCH(K261,Parts!$A$6:$A$45,0)),O261)&lt;&gt;O261),"different processes in one tray; ","")&amp;IF(AND(S261&lt;&gt;"",T261=""),"rework reason missing; ",""))</f>
        <v/>
      </c>
    </row>
    <row r="262" customFormat="false" ht="15" hidden="false" customHeight="false" outlineLevel="0" collapsed="false">
      <c r="A262" s="18" t="str">
        <f aca="false">IF(B262="","",COUNTA(B$7:B262))</f>
        <v/>
      </c>
      <c r="B262" s="19"/>
      <c r="C262" s="20"/>
      <c r="D262" s="19" t="str">
        <f aca="false">IF(B262="","",IF(D261="",Report!$B$12,D261))</f>
        <v/>
      </c>
      <c r="E262" s="22" t="str">
        <f aca="false">IF(B262="","",IF(C262&lt;&gt;"",C262,E261+D261/1440+SUMIFS(Holds!$F$7:$F$46,Holds!$B$7:$B$46,"&gt;="&amp;E261,Holds!$B$7:$B$46,"&lt;"&amp;E261+D261/1440)/1440))</f>
        <v/>
      </c>
      <c r="F262" s="19"/>
      <c r="G262" s="19"/>
      <c r="H262" s="19"/>
      <c r="I262" s="19"/>
      <c r="J262" s="19"/>
      <c r="K262" s="19"/>
      <c r="L262" s="19"/>
      <c r="M262" s="19"/>
      <c r="N262" s="19"/>
      <c r="O262" s="18" t="str">
        <f aca="false">IF(F262="","",IFERROR(INDEX(Parts!$C$6:$C$45,MATCH(F262,Parts!$A$6:$A$45,0)),""))</f>
        <v/>
      </c>
      <c r="P262" s="18" t="str">
        <f aca="false">IF(F262="","",IFERROR(INDEX(Parts!$E$6:$E$45,MATCH(F262,Parts!$A$6:$A$45,0)),""))</f>
        <v/>
      </c>
      <c r="Q262" s="23" t="str">
        <f aca="false">IF(OR(J262="",P262="",P262=0),"",J262/P262+IF(OR(N262="",K262=""),0,IFERROR(N262/INDEX(Parts!$E$6:$E$45,MATCH(K262,Parts!$A$6:$A$45,0)),0)))</f>
        <v/>
      </c>
      <c r="R262" s="24" t="str">
        <f aca="false">IF(B262="","",IF(J262="",0,J262*IFERROR(INDEX(Parts!$F$6:$F$45,MATCH(F262,Parts!$A$6:$A$45,0)),0))+IF(N262="",0,N262*IFERROR(INDEX(Parts!$F$6:$F$45,MATCH(K262,Parts!$A$6:$A$45,0)),0)))</f>
        <v/>
      </c>
      <c r="S262" s="19"/>
      <c r="T262" s="19"/>
      <c r="U262" s="18" t="str">
        <f aca="false">IF(B262="","",IF(F262="",Settings!$B$9,IFERROR(INDEX(Parts!$H$6:$H$45,MATCH(F262,Parts!$A$6:$A$45,0))+0,Settings!$B$9)))</f>
        <v/>
      </c>
      <c r="V262" s="22" t="str">
        <f aca="false">IF(B262="","",IF(INDEX($E$7:$E$336,ROW()-6+Settings!$B$7)&lt;&gt;"",INDEX($E$7:$E$336,ROW()-6+Settings!$B$7),E262+Settings!$B$7*D262/1440))</f>
        <v/>
      </c>
      <c r="W262" s="22" t="str">
        <f aca="false">IF(B262="","",IF(INDEX($E$7:$E$336,ROW()-6+Settings!$B$7+Settings!$B$8)&lt;&gt;"",INDEX($E$7:$E$336,ROW()-6+Settings!$B$7+Settings!$B$8),E262+(Settings!$B$7+Settings!$B$8)*D262/1440)+U262/1440)</f>
        <v/>
      </c>
      <c r="X262" s="18" t="str">
        <f aca="false">IF(B262="","",IF(INDEX($E$7:$E$336,ROW()-6+Settings!$B$7+Settings!$B$8)&lt;&gt;"","line","estimate"))</f>
        <v/>
      </c>
      <c r="Y262" s="25" t="str">
        <f aca="false">IF(B262="","",INT(W262-Settings!$B$6))</f>
        <v/>
      </c>
      <c r="Z262" s="19"/>
      <c r="AA262" s="18" t="str">
        <f aca="false">IF(B262="","",IF(AND(B262&lt;&gt;"Empty",F262=""),"part missing; ","")&amp;IF(AND(F262&lt;&gt;"",J262=""),"pieces missing; ","")&amp;IF(AND(F262&lt;&gt;"",O262=""),"part not on the Parts sheet; ","")&amp;IF(AND(B262="Empty",OR(F262&lt;&gt;"",K262&lt;&gt;"")),"empty tray with parts; ","")&amp;IF(AND(B262="Loaded",K262&lt;&gt;""),"second part: type Mixed; ","")&amp;IF(AND(Q262&lt;&gt;"",N(Q262)&gt;1),"over 100 % of the spec load; ","")&amp;IF(N(R262)&gt;Settings!$B$10,"over the tray maximum (kg); ","")&amp;IF(AND(K262&lt;&gt;"",IFERROR(INDEX(Parts!$C$6:$C$45,MATCH(K262,Parts!$A$6:$A$45,0)),O262)&lt;&gt;O262),"different processes in one tray; ","")&amp;IF(AND(S262&lt;&gt;"",T262=""),"rework reason missing; ",""))</f>
        <v/>
      </c>
    </row>
    <row r="263" customFormat="false" ht="15" hidden="false" customHeight="false" outlineLevel="0" collapsed="false">
      <c r="A263" s="18" t="str">
        <f aca="false">IF(B263="","",COUNTA(B$7:B263))</f>
        <v/>
      </c>
      <c r="B263" s="19"/>
      <c r="C263" s="20"/>
      <c r="D263" s="19" t="str">
        <f aca="false">IF(B263="","",IF(D262="",Report!$B$12,D262))</f>
        <v/>
      </c>
      <c r="E263" s="22" t="str">
        <f aca="false">IF(B263="","",IF(C263&lt;&gt;"",C263,E262+D262/1440+SUMIFS(Holds!$F$7:$F$46,Holds!$B$7:$B$46,"&gt;="&amp;E262,Holds!$B$7:$B$46,"&lt;"&amp;E262+D262/1440)/1440))</f>
        <v/>
      </c>
      <c r="F263" s="19"/>
      <c r="G263" s="19"/>
      <c r="H263" s="19"/>
      <c r="I263" s="19"/>
      <c r="J263" s="19"/>
      <c r="K263" s="19"/>
      <c r="L263" s="19"/>
      <c r="M263" s="19"/>
      <c r="N263" s="19"/>
      <c r="O263" s="18" t="str">
        <f aca="false">IF(F263="","",IFERROR(INDEX(Parts!$C$6:$C$45,MATCH(F263,Parts!$A$6:$A$45,0)),""))</f>
        <v/>
      </c>
      <c r="P263" s="18" t="str">
        <f aca="false">IF(F263="","",IFERROR(INDEX(Parts!$E$6:$E$45,MATCH(F263,Parts!$A$6:$A$45,0)),""))</f>
        <v/>
      </c>
      <c r="Q263" s="23" t="str">
        <f aca="false">IF(OR(J263="",P263="",P263=0),"",J263/P263+IF(OR(N263="",K263=""),0,IFERROR(N263/INDEX(Parts!$E$6:$E$45,MATCH(K263,Parts!$A$6:$A$45,0)),0)))</f>
        <v/>
      </c>
      <c r="R263" s="24" t="str">
        <f aca="false">IF(B263="","",IF(J263="",0,J263*IFERROR(INDEX(Parts!$F$6:$F$45,MATCH(F263,Parts!$A$6:$A$45,0)),0))+IF(N263="",0,N263*IFERROR(INDEX(Parts!$F$6:$F$45,MATCH(K263,Parts!$A$6:$A$45,0)),0)))</f>
        <v/>
      </c>
      <c r="S263" s="19"/>
      <c r="T263" s="19"/>
      <c r="U263" s="18" t="str">
        <f aca="false">IF(B263="","",IF(F263="",Settings!$B$9,IFERROR(INDEX(Parts!$H$6:$H$45,MATCH(F263,Parts!$A$6:$A$45,0))+0,Settings!$B$9)))</f>
        <v/>
      </c>
      <c r="V263" s="22" t="str">
        <f aca="false">IF(B263="","",IF(INDEX($E$7:$E$336,ROW()-6+Settings!$B$7)&lt;&gt;"",INDEX($E$7:$E$336,ROW()-6+Settings!$B$7),E263+Settings!$B$7*D263/1440))</f>
        <v/>
      </c>
      <c r="W263" s="22" t="str">
        <f aca="false">IF(B263="","",IF(INDEX($E$7:$E$336,ROW()-6+Settings!$B$7+Settings!$B$8)&lt;&gt;"",INDEX($E$7:$E$336,ROW()-6+Settings!$B$7+Settings!$B$8),E263+(Settings!$B$7+Settings!$B$8)*D263/1440)+U263/1440)</f>
        <v/>
      </c>
      <c r="X263" s="18" t="str">
        <f aca="false">IF(B263="","",IF(INDEX($E$7:$E$336,ROW()-6+Settings!$B$7+Settings!$B$8)&lt;&gt;"","line","estimate"))</f>
        <v/>
      </c>
      <c r="Y263" s="25" t="str">
        <f aca="false">IF(B263="","",INT(W263-Settings!$B$6))</f>
        <v/>
      </c>
      <c r="Z263" s="19"/>
      <c r="AA263" s="18" t="str">
        <f aca="false">IF(B263="","",IF(AND(B263&lt;&gt;"Empty",F263=""),"part missing; ","")&amp;IF(AND(F263&lt;&gt;"",J263=""),"pieces missing; ","")&amp;IF(AND(F263&lt;&gt;"",O263=""),"part not on the Parts sheet; ","")&amp;IF(AND(B263="Empty",OR(F263&lt;&gt;"",K263&lt;&gt;"")),"empty tray with parts; ","")&amp;IF(AND(B263="Loaded",K263&lt;&gt;""),"second part: type Mixed; ","")&amp;IF(AND(Q263&lt;&gt;"",N(Q263)&gt;1),"over 100 % of the spec load; ","")&amp;IF(N(R263)&gt;Settings!$B$10,"over the tray maximum (kg); ","")&amp;IF(AND(K263&lt;&gt;"",IFERROR(INDEX(Parts!$C$6:$C$45,MATCH(K263,Parts!$A$6:$A$45,0)),O263)&lt;&gt;O263),"different processes in one tray; ","")&amp;IF(AND(S263&lt;&gt;"",T263=""),"rework reason missing; ",""))</f>
        <v/>
      </c>
    </row>
    <row r="264" customFormat="false" ht="15" hidden="false" customHeight="false" outlineLevel="0" collapsed="false">
      <c r="A264" s="18" t="str">
        <f aca="false">IF(B264="","",COUNTA(B$7:B264))</f>
        <v/>
      </c>
      <c r="B264" s="19"/>
      <c r="C264" s="20"/>
      <c r="D264" s="19" t="str">
        <f aca="false">IF(B264="","",IF(D263="",Report!$B$12,D263))</f>
        <v/>
      </c>
      <c r="E264" s="22" t="str">
        <f aca="false">IF(B264="","",IF(C264&lt;&gt;"",C264,E263+D263/1440+SUMIFS(Holds!$F$7:$F$46,Holds!$B$7:$B$46,"&gt;="&amp;E263,Holds!$B$7:$B$46,"&lt;"&amp;E263+D263/1440)/1440))</f>
        <v/>
      </c>
      <c r="F264" s="19"/>
      <c r="G264" s="19"/>
      <c r="H264" s="19"/>
      <c r="I264" s="19"/>
      <c r="J264" s="19"/>
      <c r="K264" s="19"/>
      <c r="L264" s="19"/>
      <c r="M264" s="19"/>
      <c r="N264" s="19"/>
      <c r="O264" s="18" t="str">
        <f aca="false">IF(F264="","",IFERROR(INDEX(Parts!$C$6:$C$45,MATCH(F264,Parts!$A$6:$A$45,0)),""))</f>
        <v/>
      </c>
      <c r="P264" s="18" t="str">
        <f aca="false">IF(F264="","",IFERROR(INDEX(Parts!$E$6:$E$45,MATCH(F264,Parts!$A$6:$A$45,0)),""))</f>
        <v/>
      </c>
      <c r="Q264" s="23" t="str">
        <f aca="false">IF(OR(J264="",P264="",P264=0),"",J264/P264+IF(OR(N264="",K264=""),0,IFERROR(N264/INDEX(Parts!$E$6:$E$45,MATCH(K264,Parts!$A$6:$A$45,0)),0)))</f>
        <v/>
      </c>
      <c r="R264" s="24" t="str">
        <f aca="false">IF(B264="","",IF(J264="",0,J264*IFERROR(INDEX(Parts!$F$6:$F$45,MATCH(F264,Parts!$A$6:$A$45,0)),0))+IF(N264="",0,N264*IFERROR(INDEX(Parts!$F$6:$F$45,MATCH(K264,Parts!$A$6:$A$45,0)),0)))</f>
        <v/>
      </c>
      <c r="S264" s="19"/>
      <c r="T264" s="19"/>
      <c r="U264" s="18" t="str">
        <f aca="false">IF(B264="","",IF(F264="",Settings!$B$9,IFERROR(INDEX(Parts!$H$6:$H$45,MATCH(F264,Parts!$A$6:$A$45,0))+0,Settings!$B$9)))</f>
        <v/>
      </c>
      <c r="V264" s="22" t="str">
        <f aca="false">IF(B264="","",IF(INDEX($E$7:$E$336,ROW()-6+Settings!$B$7)&lt;&gt;"",INDEX($E$7:$E$336,ROW()-6+Settings!$B$7),E264+Settings!$B$7*D264/1440))</f>
        <v/>
      </c>
      <c r="W264" s="22" t="str">
        <f aca="false">IF(B264="","",IF(INDEX($E$7:$E$336,ROW()-6+Settings!$B$7+Settings!$B$8)&lt;&gt;"",INDEX($E$7:$E$336,ROW()-6+Settings!$B$7+Settings!$B$8),E264+(Settings!$B$7+Settings!$B$8)*D264/1440)+U264/1440)</f>
        <v/>
      </c>
      <c r="X264" s="18" t="str">
        <f aca="false">IF(B264="","",IF(INDEX($E$7:$E$336,ROW()-6+Settings!$B$7+Settings!$B$8)&lt;&gt;"","line","estimate"))</f>
        <v/>
      </c>
      <c r="Y264" s="25" t="str">
        <f aca="false">IF(B264="","",INT(W264-Settings!$B$6))</f>
        <v/>
      </c>
      <c r="Z264" s="19"/>
      <c r="AA264" s="18" t="str">
        <f aca="false">IF(B264="","",IF(AND(B264&lt;&gt;"Empty",F264=""),"part missing; ","")&amp;IF(AND(F264&lt;&gt;"",J264=""),"pieces missing; ","")&amp;IF(AND(F264&lt;&gt;"",O264=""),"part not on the Parts sheet; ","")&amp;IF(AND(B264="Empty",OR(F264&lt;&gt;"",K264&lt;&gt;"")),"empty tray with parts; ","")&amp;IF(AND(B264="Loaded",K264&lt;&gt;""),"second part: type Mixed; ","")&amp;IF(AND(Q264&lt;&gt;"",N(Q264)&gt;1),"over 100 % of the spec load; ","")&amp;IF(N(R264)&gt;Settings!$B$10,"over the tray maximum (kg); ","")&amp;IF(AND(K264&lt;&gt;"",IFERROR(INDEX(Parts!$C$6:$C$45,MATCH(K264,Parts!$A$6:$A$45,0)),O264)&lt;&gt;O264),"different processes in one tray; ","")&amp;IF(AND(S264&lt;&gt;"",T264=""),"rework reason missing; ",""))</f>
        <v/>
      </c>
    </row>
    <row r="265" customFormat="false" ht="15" hidden="false" customHeight="false" outlineLevel="0" collapsed="false">
      <c r="A265" s="18" t="str">
        <f aca="false">IF(B265="","",COUNTA(B$7:B265))</f>
        <v/>
      </c>
      <c r="B265" s="19"/>
      <c r="C265" s="20"/>
      <c r="D265" s="19" t="str">
        <f aca="false">IF(B265="","",IF(D264="",Report!$B$12,D264))</f>
        <v/>
      </c>
      <c r="E265" s="22" t="str">
        <f aca="false">IF(B265="","",IF(C265&lt;&gt;"",C265,E264+D264/1440+SUMIFS(Holds!$F$7:$F$46,Holds!$B$7:$B$46,"&gt;="&amp;E264,Holds!$B$7:$B$46,"&lt;"&amp;E264+D264/1440)/1440))</f>
        <v/>
      </c>
      <c r="F265" s="19"/>
      <c r="G265" s="19"/>
      <c r="H265" s="19"/>
      <c r="I265" s="19"/>
      <c r="J265" s="19"/>
      <c r="K265" s="19"/>
      <c r="L265" s="19"/>
      <c r="M265" s="19"/>
      <c r="N265" s="19"/>
      <c r="O265" s="18" t="str">
        <f aca="false">IF(F265="","",IFERROR(INDEX(Parts!$C$6:$C$45,MATCH(F265,Parts!$A$6:$A$45,0)),""))</f>
        <v/>
      </c>
      <c r="P265" s="18" t="str">
        <f aca="false">IF(F265="","",IFERROR(INDEX(Parts!$E$6:$E$45,MATCH(F265,Parts!$A$6:$A$45,0)),""))</f>
        <v/>
      </c>
      <c r="Q265" s="23" t="str">
        <f aca="false">IF(OR(J265="",P265="",P265=0),"",J265/P265+IF(OR(N265="",K265=""),0,IFERROR(N265/INDEX(Parts!$E$6:$E$45,MATCH(K265,Parts!$A$6:$A$45,0)),0)))</f>
        <v/>
      </c>
      <c r="R265" s="24" t="str">
        <f aca="false">IF(B265="","",IF(J265="",0,J265*IFERROR(INDEX(Parts!$F$6:$F$45,MATCH(F265,Parts!$A$6:$A$45,0)),0))+IF(N265="",0,N265*IFERROR(INDEX(Parts!$F$6:$F$45,MATCH(K265,Parts!$A$6:$A$45,0)),0)))</f>
        <v/>
      </c>
      <c r="S265" s="19"/>
      <c r="T265" s="19"/>
      <c r="U265" s="18" t="str">
        <f aca="false">IF(B265="","",IF(F265="",Settings!$B$9,IFERROR(INDEX(Parts!$H$6:$H$45,MATCH(F265,Parts!$A$6:$A$45,0))+0,Settings!$B$9)))</f>
        <v/>
      </c>
      <c r="V265" s="22" t="str">
        <f aca="false">IF(B265="","",IF(INDEX($E$7:$E$336,ROW()-6+Settings!$B$7)&lt;&gt;"",INDEX($E$7:$E$336,ROW()-6+Settings!$B$7),E265+Settings!$B$7*D265/1440))</f>
        <v/>
      </c>
      <c r="W265" s="22" t="str">
        <f aca="false">IF(B265="","",IF(INDEX($E$7:$E$336,ROW()-6+Settings!$B$7+Settings!$B$8)&lt;&gt;"",INDEX($E$7:$E$336,ROW()-6+Settings!$B$7+Settings!$B$8),E265+(Settings!$B$7+Settings!$B$8)*D265/1440)+U265/1440)</f>
        <v/>
      </c>
      <c r="X265" s="18" t="str">
        <f aca="false">IF(B265="","",IF(INDEX($E$7:$E$336,ROW()-6+Settings!$B$7+Settings!$B$8)&lt;&gt;"","line","estimate"))</f>
        <v/>
      </c>
      <c r="Y265" s="25" t="str">
        <f aca="false">IF(B265="","",INT(W265-Settings!$B$6))</f>
        <v/>
      </c>
      <c r="Z265" s="19"/>
      <c r="AA265" s="18" t="str">
        <f aca="false">IF(B265="","",IF(AND(B265&lt;&gt;"Empty",F265=""),"part missing; ","")&amp;IF(AND(F265&lt;&gt;"",J265=""),"pieces missing; ","")&amp;IF(AND(F265&lt;&gt;"",O265=""),"part not on the Parts sheet; ","")&amp;IF(AND(B265="Empty",OR(F265&lt;&gt;"",K265&lt;&gt;"")),"empty tray with parts; ","")&amp;IF(AND(B265="Loaded",K265&lt;&gt;""),"second part: type Mixed; ","")&amp;IF(AND(Q265&lt;&gt;"",N(Q265)&gt;1),"over 100 % of the spec load; ","")&amp;IF(N(R265)&gt;Settings!$B$10,"over the tray maximum (kg); ","")&amp;IF(AND(K265&lt;&gt;"",IFERROR(INDEX(Parts!$C$6:$C$45,MATCH(K265,Parts!$A$6:$A$45,0)),O265)&lt;&gt;O265),"different processes in one tray; ","")&amp;IF(AND(S265&lt;&gt;"",T265=""),"rework reason missing; ",""))</f>
        <v/>
      </c>
    </row>
    <row r="266" customFormat="false" ht="15" hidden="false" customHeight="false" outlineLevel="0" collapsed="false">
      <c r="A266" s="18" t="str">
        <f aca="false">IF(B266="","",COUNTA(B$7:B266))</f>
        <v/>
      </c>
      <c r="B266" s="19"/>
      <c r="C266" s="20"/>
      <c r="D266" s="19" t="str">
        <f aca="false">IF(B266="","",IF(D265="",Report!$B$12,D265))</f>
        <v/>
      </c>
      <c r="E266" s="22" t="str">
        <f aca="false">IF(B266="","",IF(C266&lt;&gt;"",C266,E265+D265/1440+SUMIFS(Holds!$F$7:$F$46,Holds!$B$7:$B$46,"&gt;="&amp;E265,Holds!$B$7:$B$46,"&lt;"&amp;E265+D265/1440)/1440))</f>
        <v/>
      </c>
      <c r="F266" s="19"/>
      <c r="G266" s="19"/>
      <c r="H266" s="19"/>
      <c r="I266" s="19"/>
      <c r="J266" s="19"/>
      <c r="K266" s="19"/>
      <c r="L266" s="19"/>
      <c r="M266" s="19"/>
      <c r="N266" s="19"/>
      <c r="O266" s="18" t="str">
        <f aca="false">IF(F266="","",IFERROR(INDEX(Parts!$C$6:$C$45,MATCH(F266,Parts!$A$6:$A$45,0)),""))</f>
        <v/>
      </c>
      <c r="P266" s="18" t="str">
        <f aca="false">IF(F266="","",IFERROR(INDEX(Parts!$E$6:$E$45,MATCH(F266,Parts!$A$6:$A$45,0)),""))</f>
        <v/>
      </c>
      <c r="Q266" s="23" t="str">
        <f aca="false">IF(OR(J266="",P266="",P266=0),"",J266/P266+IF(OR(N266="",K266=""),0,IFERROR(N266/INDEX(Parts!$E$6:$E$45,MATCH(K266,Parts!$A$6:$A$45,0)),0)))</f>
        <v/>
      </c>
      <c r="R266" s="24" t="str">
        <f aca="false">IF(B266="","",IF(J266="",0,J266*IFERROR(INDEX(Parts!$F$6:$F$45,MATCH(F266,Parts!$A$6:$A$45,0)),0))+IF(N266="",0,N266*IFERROR(INDEX(Parts!$F$6:$F$45,MATCH(K266,Parts!$A$6:$A$45,0)),0)))</f>
        <v/>
      </c>
      <c r="S266" s="19"/>
      <c r="T266" s="19"/>
      <c r="U266" s="18" t="str">
        <f aca="false">IF(B266="","",IF(F266="",Settings!$B$9,IFERROR(INDEX(Parts!$H$6:$H$45,MATCH(F266,Parts!$A$6:$A$45,0))+0,Settings!$B$9)))</f>
        <v/>
      </c>
      <c r="V266" s="22" t="str">
        <f aca="false">IF(B266="","",IF(INDEX($E$7:$E$336,ROW()-6+Settings!$B$7)&lt;&gt;"",INDEX($E$7:$E$336,ROW()-6+Settings!$B$7),E266+Settings!$B$7*D266/1440))</f>
        <v/>
      </c>
      <c r="W266" s="22" t="str">
        <f aca="false">IF(B266="","",IF(INDEX($E$7:$E$336,ROW()-6+Settings!$B$7+Settings!$B$8)&lt;&gt;"",INDEX($E$7:$E$336,ROW()-6+Settings!$B$7+Settings!$B$8),E266+(Settings!$B$7+Settings!$B$8)*D266/1440)+U266/1440)</f>
        <v/>
      </c>
      <c r="X266" s="18" t="str">
        <f aca="false">IF(B266="","",IF(INDEX($E$7:$E$336,ROW()-6+Settings!$B$7+Settings!$B$8)&lt;&gt;"","line","estimate"))</f>
        <v/>
      </c>
      <c r="Y266" s="25" t="str">
        <f aca="false">IF(B266="","",INT(W266-Settings!$B$6))</f>
        <v/>
      </c>
      <c r="Z266" s="19"/>
      <c r="AA266" s="18" t="str">
        <f aca="false">IF(B266="","",IF(AND(B266&lt;&gt;"Empty",F266=""),"part missing; ","")&amp;IF(AND(F266&lt;&gt;"",J266=""),"pieces missing; ","")&amp;IF(AND(F266&lt;&gt;"",O266=""),"part not on the Parts sheet; ","")&amp;IF(AND(B266="Empty",OR(F266&lt;&gt;"",K266&lt;&gt;"")),"empty tray with parts; ","")&amp;IF(AND(B266="Loaded",K266&lt;&gt;""),"second part: type Mixed; ","")&amp;IF(AND(Q266&lt;&gt;"",N(Q266)&gt;1),"over 100 % of the spec load; ","")&amp;IF(N(R266)&gt;Settings!$B$10,"over the tray maximum (kg); ","")&amp;IF(AND(K266&lt;&gt;"",IFERROR(INDEX(Parts!$C$6:$C$45,MATCH(K266,Parts!$A$6:$A$45,0)),O266)&lt;&gt;O266),"different processes in one tray; ","")&amp;IF(AND(S266&lt;&gt;"",T266=""),"rework reason missing; ",""))</f>
        <v/>
      </c>
    </row>
    <row r="267" customFormat="false" ht="15" hidden="false" customHeight="false" outlineLevel="0" collapsed="false">
      <c r="A267" s="18" t="str">
        <f aca="false">IF(B267="","",COUNTA(B$7:B267))</f>
        <v/>
      </c>
      <c r="B267" s="19"/>
      <c r="C267" s="20"/>
      <c r="D267" s="19" t="str">
        <f aca="false">IF(B267="","",IF(D266="",Report!$B$12,D266))</f>
        <v/>
      </c>
      <c r="E267" s="22" t="str">
        <f aca="false">IF(B267="","",IF(C267&lt;&gt;"",C267,E266+D266/1440+SUMIFS(Holds!$F$7:$F$46,Holds!$B$7:$B$46,"&gt;="&amp;E266,Holds!$B$7:$B$46,"&lt;"&amp;E266+D266/1440)/1440))</f>
        <v/>
      </c>
      <c r="F267" s="19"/>
      <c r="G267" s="19"/>
      <c r="H267" s="19"/>
      <c r="I267" s="19"/>
      <c r="J267" s="19"/>
      <c r="K267" s="19"/>
      <c r="L267" s="19"/>
      <c r="M267" s="19"/>
      <c r="N267" s="19"/>
      <c r="O267" s="18" t="str">
        <f aca="false">IF(F267="","",IFERROR(INDEX(Parts!$C$6:$C$45,MATCH(F267,Parts!$A$6:$A$45,0)),""))</f>
        <v/>
      </c>
      <c r="P267" s="18" t="str">
        <f aca="false">IF(F267="","",IFERROR(INDEX(Parts!$E$6:$E$45,MATCH(F267,Parts!$A$6:$A$45,0)),""))</f>
        <v/>
      </c>
      <c r="Q267" s="23" t="str">
        <f aca="false">IF(OR(J267="",P267="",P267=0),"",J267/P267+IF(OR(N267="",K267=""),0,IFERROR(N267/INDEX(Parts!$E$6:$E$45,MATCH(K267,Parts!$A$6:$A$45,0)),0)))</f>
        <v/>
      </c>
      <c r="R267" s="24" t="str">
        <f aca="false">IF(B267="","",IF(J267="",0,J267*IFERROR(INDEX(Parts!$F$6:$F$45,MATCH(F267,Parts!$A$6:$A$45,0)),0))+IF(N267="",0,N267*IFERROR(INDEX(Parts!$F$6:$F$45,MATCH(K267,Parts!$A$6:$A$45,0)),0)))</f>
        <v/>
      </c>
      <c r="S267" s="19"/>
      <c r="T267" s="19"/>
      <c r="U267" s="18" t="str">
        <f aca="false">IF(B267="","",IF(F267="",Settings!$B$9,IFERROR(INDEX(Parts!$H$6:$H$45,MATCH(F267,Parts!$A$6:$A$45,0))+0,Settings!$B$9)))</f>
        <v/>
      </c>
      <c r="V267" s="22" t="str">
        <f aca="false">IF(B267="","",IF(INDEX($E$7:$E$336,ROW()-6+Settings!$B$7)&lt;&gt;"",INDEX($E$7:$E$336,ROW()-6+Settings!$B$7),E267+Settings!$B$7*D267/1440))</f>
        <v/>
      </c>
      <c r="W267" s="22" t="str">
        <f aca="false">IF(B267="","",IF(INDEX($E$7:$E$336,ROW()-6+Settings!$B$7+Settings!$B$8)&lt;&gt;"",INDEX($E$7:$E$336,ROW()-6+Settings!$B$7+Settings!$B$8),E267+(Settings!$B$7+Settings!$B$8)*D267/1440)+U267/1440)</f>
        <v/>
      </c>
      <c r="X267" s="18" t="str">
        <f aca="false">IF(B267="","",IF(INDEX($E$7:$E$336,ROW()-6+Settings!$B$7+Settings!$B$8)&lt;&gt;"","line","estimate"))</f>
        <v/>
      </c>
      <c r="Y267" s="25" t="str">
        <f aca="false">IF(B267="","",INT(W267-Settings!$B$6))</f>
        <v/>
      </c>
      <c r="Z267" s="19"/>
      <c r="AA267" s="18" t="str">
        <f aca="false">IF(B267="","",IF(AND(B267&lt;&gt;"Empty",F267=""),"part missing; ","")&amp;IF(AND(F267&lt;&gt;"",J267=""),"pieces missing; ","")&amp;IF(AND(F267&lt;&gt;"",O267=""),"part not on the Parts sheet; ","")&amp;IF(AND(B267="Empty",OR(F267&lt;&gt;"",K267&lt;&gt;"")),"empty tray with parts; ","")&amp;IF(AND(B267="Loaded",K267&lt;&gt;""),"second part: type Mixed; ","")&amp;IF(AND(Q267&lt;&gt;"",N(Q267)&gt;1),"over 100 % of the spec load; ","")&amp;IF(N(R267)&gt;Settings!$B$10,"over the tray maximum (kg); ","")&amp;IF(AND(K267&lt;&gt;"",IFERROR(INDEX(Parts!$C$6:$C$45,MATCH(K267,Parts!$A$6:$A$45,0)),O267)&lt;&gt;O267),"different processes in one tray; ","")&amp;IF(AND(S267&lt;&gt;"",T267=""),"rework reason missing; ",""))</f>
        <v/>
      </c>
    </row>
    <row r="268" customFormat="false" ht="15" hidden="false" customHeight="false" outlineLevel="0" collapsed="false">
      <c r="A268" s="18" t="str">
        <f aca="false">IF(B268="","",COUNTA(B$7:B268))</f>
        <v/>
      </c>
      <c r="B268" s="19"/>
      <c r="C268" s="20"/>
      <c r="D268" s="19" t="str">
        <f aca="false">IF(B268="","",IF(D267="",Report!$B$12,D267))</f>
        <v/>
      </c>
      <c r="E268" s="22" t="str">
        <f aca="false">IF(B268="","",IF(C268&lt;&gt;"",C268,E267+D267/1440+SUMIFS(Holds!$F$7:$F$46,Holds!$B$7:$B$46,"&gt;="&amp;E267,Holds!$B$7:$B$46,"&lt;"&amp;E267+D267/1440)/1440))</f>
        <v/>
      </c>
      <c r="F268" s="19"/>
      <c r="G268" s="19"/>
      <c r="H268" s="19"/>
      <c r="I268" s="19"/>
      <c r="J268" s="19"/>
      <c r="K268" s="19"/>
      <c r="L268" s="19"/>
      <c r="M268" s="19"/>
      <c r="N268" s="19"/>
      <c r="O268" s="18" t="str">
        <f aca="false">IF(F268="","",IFERROR(INDEX(Parts!$C$6:$C$45,MATCH(F268,Parts!$A$6:$A$45,0)),""))</f>
        <v/>
      </c>
      <c r="P268" s="18" t="str">
        <f aca="false">IF(F268="","",IFERROR(INDEX(Parts!$E$6:$E$45,MATCH(F268,Parts!$A$6:$A$45,0)),""))</f>
        <v/>
      </c>
      <c r="Q268" s="23" t="str">
        <f aca="false">IF(OR(J268="",P268="",P268=0),"",J268/P268+IF(OR(N268="",K268=""),0,IFERROR(N268/INDEX(Parts!$E$6:$E$45,MATCH(K268,Parts!$A$6:$A$45,0)),0)))</f>
        <v/>
      </c>
      <c r="R268" s="24" t="str">
        <f aca="false">IF(B268="","",IF(J268="",0,J268*IFERROR(INDEX(Parts!$F$6:$F$45,MATCH(F268,Parts!$A$6:$A$45,0)),0))+IF(N268="",0,N268*IFERROR(INDEX(Parts!$F$6:$F$45,MATCH(K268,Parts!$A$6:$A$45,0)),0)))</f>
        <v/>
      </c>
      <c r="S268" s="19"/>
      <c r="T268" s="19"/>
      <c r="U268" s="18" t="str">
        <f aca="false">IF(B268="","",IF(F268="",Settings!$B$9,IFERROR(INDEX(Parts!$H$6:$H$45,MATCH(F268,Parts!$A$6:$A$45,0))+0,Settings!$B$9)))</f>
        <v/>
      </c>
      <c r="V268" s="22" t="str">
        <f aca="false">IF(B268="","",IF(INDEX($E$7:$E$336,ROW()-6+Settings!$B$7)&lt;&gt;"",INDEX($E$7:$E$336,ROW()-6+Settings!$B$7),E268+Settings!$B$7*D268/1440))</f>
        <v/>
      </c>
      <c r="W268" s="22" t="str">
        <f aca="false">IF(B268="","",IF(INDEX($E$7:$E$336,ROW()-6+Settings!$B$7+Settings!$B$8)&lt;&gt;"",INDEX($E$7:$E$336,ROW()-6+Settings!$B$7+Settings!$B$8),E268+(Settings!$B$7+Settings!$B$8)*D268/1440)+U268/1440)</f>
        <v/>
      </c>
      <c r="X268" s="18" t="str">
        <f aca="false">IF(B268="","",IF(INDEX($E$7:$E$336,ROW()-6+Settings!$B$7+Settings!$B$8)&lt;&gt;"","line","estimate"))</f>
        <v/>
      </c>
      <c r="Y268" s="25" t="str">
        <f aca="false">IF(B268="","",INT(W268-Settings!$B$6))</f>
        <v/>
      </c>
      <c r="Z268" s="19"/>
      <c r="AA268" s="18" t="str">
        <f aca="false">IF(B268="","",IF(AND(B268&lt;&gt;"Empty",F268=""),"part missing; ","")&amp;IF(AND(F268&lt;&gt;"",J268=""),"pieces missing; ","")&amp;IF(AND(F268&lt;&gt;"",O268=""),"part not on the Parts sheet; ","")&amp;IF(AND(B268="Empty",OR(F268&lt;&gt;"",K268&lt;&gt;"")),"empty tray with parts; ","")&amp;IF(AND(B268="Loaded",K268&lt;&gt;""),"second part: type Mixed; ","")&amp;IF(AND(Q268&lt;&gt;"",N(Q268)&gt;1),"over 100 % of the spec load; ","")&amp;IF(N(R268)&gt;Settings!$B$10,"over the tray maximum (kg); ","")&amp;IF(AND(K268&lt;&gt;"",IFERROR(INDEX(Parts!$C$6:$C$45,MATCH(K268,Parts!$A$6:$A$45,0)),O268)&lt;&gt;O268),"different processes in one tray; ","")&amp;IF(AND(S268&lt;&gt;"",T268=""),"rework reason missing; ",""))</f>
        <v/>
      </c>
    </row>
    <row r="269" customFormat="false" ht="15" hidden="false" customHeight="false" outlineLevel="0" collapsed="false">
      <c r="A269" s="18" t="str">
        <f aca="false">IF(B269="","",COUNTA(B$7:B269))</f>
        <v/>
      </c>
      <c r="B269" s="19"/>
      <c r="C269" s="20"/>
      <c r="D269" s="19" t="str">
        <f aca="false">IF(B269="","",IF(D268="",Report!$B$12,D268))</f>
        <v/>
      </c>
      <c r="E269" s="22" t="str">
        <f aca="false">IF(B269="","",IF(C269&lt;&gt;"",C269,E268+D268/1440+SUMIFS(Holds!$F$7:$F$46,Holds!$B$7:$B$46,"&gt;="&amp;E268,Holds!$B$7:$B$46,"&lt;"&amp;E268+D268/1440)/1440))</f>
        <v/>
      </c>
      <c r="F269" s="19"/>
      <c r="G269" s="19"/>
      <c r="H269" s="19"/>
      <c r="I269" s="19"/>
      <c r="J269" s="19"/>
      <c r="K269" s="19"/>
      <c r="L269" s="19"/>
      <c r="M269" s="19"/>
      <c r="N269" s="19"/>
      <c r="O269" s="18" t="str">
        <f aca="false">IF(F269="","",IFERROR(INDEX(Parts!$C$6:$C$45,MATCH(F269,Parts!$A$6:$A$45,0)),""))</f>
        <v/>
      </c>
      <c r="P269" s="18" t="str">
        <f aca="false">IF(F269="","",IFERROR(INDEX(Parts!$E$6:$E$45,MATCH(F269,Parts!$A$6:$A$45,0)),""))</f>
        <v/>
      </c>
      <c r="Q269" s="23" t="str">
        <f aca="false">IF(OR(J269="",P269="",P269=0),"",J269/P269+IF(OR(N269="",K269=""),0,IFERROR(N269/INDEX(Parts!$E$6:$E$45,MATCH(K269,Parts!$A$6:$A$45,0)),0)))</f>
        <v/>
      </c>
      <c r="R269" s="24" t="str">
        <f aca="false">IF(B269="","",IF(J269="",0,J269*IFERROR(INDEX(Parts!$F$6:$F$45,MATCH(F269,Parts!$A$6:$A$45,0)),0))+IF(N269="",0,N269*IFERROR(INDEX(Parts!$F$6:$F$45,MATCH(K269,Parts!$A$6:$A$45,0)),0)))</f>
        <v/>
      </c>
      <c r="S269" s="19"/>
      <c r="T269" s="19"/>
      <c r="U269" s="18" t="str">
        <f aca="false">IF(B269="","",IF(F269="",Settings!$B$9,IFERROR(INDEX(Parts!$H$6:$H$45,MATCH(F269,Parts!$A$6:$A$45,0))+0,Settings!$B$9)))</f>
        <v/>
      </c>
      <c r="V269" s="22" t="str">
        <f aca="false">IF(B269="","",IF(INDEX($E$7:$E$336,ROW()-6+Settings!$B$7)&lt;&gt;"",INDEX($E$7:$E$336,ROW()-6+Settings!$B$7),E269+Settings!$B$7*D269/1440))</f>
        <v/>
      </c>
      <c r="W269" s="22" t="str">
        <f aca="false">IF(B269="","",IF(INDEX($E$7:$E$336,ROW()-6+Settings!$B$7+Settings!$B$8)&lt;&gt;"",INDEX($E$7:$E$336,ROW()-6+Settings!$B$7+Settings!$B$8),E269+(Settings!$B$7+Settings!$B$8)*D269/1440)+U269/1440)</f>
        <v/>
      </c>
      <c r="X269" s="18" t="str">
        <f aca="false">IF(B269="","",IF(INDEX($E$7:$E$336,ROW()-6+Settings!$B$7+Settings!$B$8)&lt;&gt;"","line","estimate"))</f>
        <v/>
      </c>
      <c r="Y269" s="25" t="str">
        <f aca="false">IF(B269="","",INT(W269-Settings!$B$6))</f>
        <v/>
      </c>
      <c r="Z269" s="19"/>
      <c r="AA269" s="18" t="str">
        <f aca="false">IF(B269="","",IF(AND(B269&lt;&gt;"Empty",F269=""),"part missing; ","")&amp;IF(AND(F269&lt;&gt;"",J269=""),"pieces missing; ","")&amp;IF(AND(F269&lt;&gt;"",O269=""),"part not on the Parts sheet; ","")&amp;IF(AND(B269="Empty",OR(F269&lt;&gt;"",K269&lt;&gt;"")),"empty tray with parts; ","")&amp;IF(AND(B269="Loaded",K269&lt;&gt;""),"second part: type Mixed; ","")&amp;IF(AND(Q269&lt;&gt;"",N(Q269)&gt;1),"over 100 % of the spec load; ","")&amp;IF(N(R269)&gt;Settings!$B$10,"over the tray maximum (kg); ","")&amp;IF(AND(K269&lt;&gt;"",IFERROR(INDEX(Parts!$C$6:$C$45,MATCH(K269,Parts!$A$6:$A$45,0)),O269)&lt;&gt;O269),"different processes in one tray; ","")&amp;IF(AND(S269&lt;&gt;"",T269=""),"rework reason missing; ",""))</f>
        <v/>
      </c>
    </row>
    <row r="270" customFormat="false" ht="15" hidden="false" customHeight="false" outlineLevel="0" collapsed="false">
      <c r="A270" s="18" t="str">
        <f aca="false">IF(B270="","",COUNTA(B$7:B270))</f>
        <v/>
      </c>
      <c r="B270" s="19"/>
      <c r="C270" s="20"/>
      <c r="D270" s="19" t="str">
        <f aca="false">IF(B270="","",IF(D269="",Report!$B$12,D269))</f>
        <v/>
      </c>
      <c r="E270" s="22" t="str">
        <f aca="false">IF(B270="","",IF(C270&lt;&gt;"",C270,E269+D269/1440+SUMIFS(Holds!$F$7:$F$46,Holds!$B$7:$B$46,"&gt;="&amp;E269,Holds!$B$7:$B$46,"&lt;"&amp;E269+D269/1440)/1440))</f>
        <v/>
      </c>
      <c r="F270" s="19"/>
      <c r="G270" s="19"/>
      <c r="H270" s="19"/>
      <c r="I270" s="19"/>
      <c r="J270" s="19"/>
      <c r="K270" s="19"/>
      <c r="L270" s="19"/>
      <c r="M270" s="19"/>
      <c r="N270" s="19"/>
      <c r="O270" s="18" t="str">
        <f aca="false">IF(F270="","",IFERROR(INDEX(Parts!$C$6:$C$45,MATCH(F270,Parts!$A$6:$A$45,0)),""))</f>
        <v/>
      </c>
      <c r="P270" s="18" t="str">
        <f aca="false">IF(F270="","",IFERROR(INDEX(Parts!$E$6:$E$45,MATCH(F270,Parts!$A$6:$A$45,0)),""))</f>
        <v/>
      </c>
      <c r="Q270" s="23" t="str">
        <f aca="false">IF(OR(J270="",P270="",P270=0),"",J270/P270+IF(OR(N270="",K270=""),0,IFERROR(N270/INDEX(Parts!$E$6:$E$45,MATCH(K270,Parts!$A$6:$A$45,0)),0)))</f>
        <v/>
      </c>
      <c r="R270" s="24" t="str">
        <f aca="false">IF(B270="","",IF(J270="",0,J270*IFERROR(INDEX(Parts!$F$6:$F$45,MATCH(F270,Parts!$A$6:$A$45,0)),0))+IF(N270="",0,N270*IFERROR(INDEX(Parts!$F$6:$F$45,MATCH(K270,Parts!$A$6:$A$45,0)),0)))</f>
        <v/>
      </c>
      <c r="S270" s="19"/>
      <c r="T270" s="19"/>
      <c r="U270" s="18" t="str">
        <f aca="false">IF(B270="","",IF(F270="",Settings!$B$9,IFERROR(INDEX(Parts!$H$6:$H$45,MATCH(F270,Parts!$A$6:$A$45,0))+0,Settings!$B$9)))</f>
        <v/>
      </c>
      <c r="V270" s="22" t="str">
        <f aca="false">IF(B270="","",IF(INDEX($E$7:$E$336,ROW()-6+Settings!$B$7)&lt;&gt;"",INDEX($E$7:$E$336,ROW()-6+Settings!$B$7),E270+Settings!$B$7*D270/1440))</f>
        <v/>
      </c>
      <c r="W270" s="22" t="str">
        <f aca="false">IF(B270="","",IF(INDEX($E$7:$E$336,ROW()-6+Settings!$B$7+Settings!$B$8)&lt;&gt;"",INDEX($E$7:$E$336,ROW()-6+Settings!$B$7+Settings!$B$8),E270+(Settings!$B$7+Settings!$B$8)*D270/1440)+U270/1440)</f>
        <v/>
      </c>
      <c r="X270" s="18" t="str">
        <f aca="false">IF(B270="","",IF(INDEX($E$7:$E$336,ROW()-6+Settings!$B$7+Settings!$B$8)&lt;&gt;"","line","estimate"))</f>
        <v/>
      </c>
      <c r="Y270" s="25" t="str">
        <f aca="false">IF(B270="","",INT(W270-Settings!$B$6))</f>
        <v/>
      </c>
      <c r="Z270" s="19"/>
      <c r="AA270" s="18" t="str">
        <f aca="false">IF(B270="","",IF(AND(B270&lt;&gt;"Empty",F270=""),"part missing; ","")&amp;IF(AND(F270&lt;&gt;"",J270=""),"pieces missing; ","")&amp;IF(AND(F270&lt;&gt;"",O270=""),"part not on the Parts sheet; ","")&amp;IF(AND(B270="Empty",OR(F270&lt;&gt;"",K270&lt;&gt;"")),"empty tray with parts; ","")&amp;IF(AND(B270="Loaded",K270&lt;&gt;""),"second part: type Mixed; ","")&amp;IF(AND(Q270&lt;&gt;"",N(Q270)&gt;1),"over 100 % of the spec load; ","")&amp;IF(N(R270)&gt;Settings!$B$10,"over the tray maximum (kg); ","")&amp;IF(AND(K270&lt;&gt;"",IFERROR(INDEX(Parts!$C$6:$C$45,MATCH(K270,Parts!$A$6:$A$45,0)),O270)&lt;&gt;O270),"different processes in one tray; ","")&amp;IF(AND(S270&lt;&gt;"",T270=""),"rework reason missing; ",""))</f>
        <v/>
      </c>
    </row>
    <row r="271" customFormat="false" ht="15" hidden="false" customHeight="false" outlineLevel="0" collapsed="false">
      <c r="A271" s="18" t="str">
        <f aca="false">IF(B271="","",COUNTA(B$7:B271))</f>
        <v/>
      </c>
      <c r="B271" s="19"/>
      <c r="C271" s="20"/>
      <c r="D271" s="19" t="str">
        <f aca="false">IF(B271="","",IF(D270="",Report!$B$12,D270))</f>
        <v/>
      </c>
      <c r="E271" s="22" t="str">
        <f aca="false">IF(B271="","",IF(C271&lt;&gt;"",C271,E270+D270/1440+SUMIFS(Holds!$F$7:$F$46,Holds!$B$7:$B$46,"&gt;="&amp;E270,Holds!$B$7:$B$46,"&lt;"&amp;E270+D270/1440)/1440))</f>
        <v/>
      </c>
      <c r="F271" s="19"/>
      <c r="G271" s="19"/>
      <c r="H271" s="19"/>
      <c r="I271" s="19"/>
      <c r="J271" s="19"/>
      <c r="K271" s="19"/>
      <c r="L271" s="19"/>
      <c r="M271" s="19"/>
      <c r="N271" s="19"/>
      <c r="O271" s="18" t="str">
        <f aca="false">IF(F271="","",IFERROR(INDEX(Parts!$C$6:$C$45,MATCH(F271,Parts!$A$6:$A$45,0)),""))</f>
        <v/>
      </c>
      <c r="P271" s="18" t="str">
        <f aca="false">IF(F271="","",IFERROR(INDEX(Parts!$E$6:$E$45,MATCH(F271,Parts!$A$6:$A$45,0)),""))</f>
        <v/>
      </c>
      <c r="Q271" s="23" t="str">
        <f aca="false">IF(OR(J271="",P271="",P271=0),"",J271/P271+IF(OR(N271="",K271=""),0,IFERROR(N271/INDEX(Parts!$E$6:$E$45,MATCH(K271,Parts!$A$6:$A$45,0)),0)))</f>
        <v/>
      </c>
      <c r="R271" s="24" t="str">
        <f aca="false">IF(B271="","",IF(J271="",0,J271*IFERROR(INDEX(Parts!$F$6:$F$45,MATCH(F271,Parts!$A$6:$A$45,0)),0))+IF(N271="",0,N271*IFERROR(INDEX(Parts!$F$6:$F$45,MATCH(K271,Parts!$A$6:$A$45,0)),0)))</f>
        <v/>
      </c>
      <c r="S271" s="19"/>
      <c r="T271" s="19"/>
      <c r="U271" s="18" t="str">
        <f aca="false">IF(B271="","",IF(F271="",Settings!$B$9,IFERROR(INDEX(Parts!$H$6:$H$45,MATCH(F271,Parts!$A$6:$A$45,0))+0,Settings!$B$9)))</f>
        <v/>
      </c>
      <c r="V271" s="22" t="str">
        <f aca="false">IF(B271="","",IF(INDEX($E$7:$E$336,ROW()-6+Settings!$B$7)&lt;&gt;"",INDEX($E$7:$E$336,ROW()-6+Settings!$B$7),E271+Settings!$B$7*D271/1440))</f>
        <v/>
      </c>
      <c r="W271" s="22" t="str">
        <f aca="false">IF(B271="","",IF(INDEX($E$7:$E$336,ROW()-6+Settings!$B$7+Settings!$B$8)&lt;&gt;"",INDEX($E$7:$E$336,ROW()-6+Settings!$B$7+Settings!$B$8),E271+(Settings!$B$7+Settings!$B$8)*D271/1440)+U271/1440)</f>
        <v/>
      </c>
      <c r="X271" s="18" t="str">
        <f aca="false">IF(B271="","",IF(INDEX($E$7:$E$336,ROW()-6+Settings!$B$7+Settings!$B$8)&lt;&gt;"","line","estimate"))</f>
        <v/>
      </c>
      <c r="Y271" s="25" t="str">
        <f aca="false">IF(B271="","",INT(W271-Settings!$B$6))</f>
        <v/>
      </c>
      <c r="Z271" s="19"/>
      <c r="AA271" s="18" t="str">
        <f aca="false">IF(B271="","",IF(AND(B271&lt;&gt;"Empty",F271=""),"part missing; ","")&amp;IF(AND(F271&lt;&gt;"",J271=""),"pieces missing; ","")&amp;IF(AND(F271&lt;&gt;"",O271=""),"part not on the Parts sheet; ","")&amp;IF(AND(B271="Empty",OR(F271&lt;&gt;"",K271&lt;&gt;"")),"empty tray with parts; ","")&amp;IF(AND(B271="Loaded",K271&lt;&gt;""),"second part: type Mixed; ","")&amp;IF(AND(Q271&lt;&gt;"",N(Q271)&gt;1),"over 100 % of the spec load; ","")&amp;IF(N(R271)&gt;Settings!$B$10,"over the tray maximum (kg); ","")&amp;IF(AND(K271&lt;&gt;"",IFERROR(INDEX(Parts!$C$6:$C$45,MATCH(K271,Parts!$A$6:$A$45,0)),O271)&lt;&gt;O271),"different processes in one tray; ","")&amp;IF(AND(S271&lt;&gt;"",T271=""),"rework reason missing; ",""))</f>
        <v/>
      </c>
    </row>
    <row r="272" customFormat="false" ht="15" hidden="false" customHeight="false" outlineLevel="0" collapsed="false">
      <c r="A272" s="18" t="str">
        <f aca="false">IF(B272="","",COUNTA(B$7:B272))</f>
        <v/>
      </c>
      <c r="B272" s="19"/>
      <c r="C272" s="20"/>
      <c r="D272" s="19" t="str">
        <f aca="false">IF(B272="","",IF(D271="",Report!$B$12,D271))</f>
        <v/>
      </c>
      <c r="E272" s="22" t="str">
        <f aca="false">IF(B272="","",IF(C272&lt;&gt;"",C272,E271+D271/1440+SUMIFS(Holds!$F$7:$F$46,Holds!$B$7:$B$46,"&gt;="&amp;E271,Holds!$B$7:$B$46,"&lt;"&amp;E271+D271/1440)/1440))</f>
        <v/>
      </c>
      <c r="F272" s="19"/>
      <c r="G272" s="19"/>
      <c r="H272" s="19"/>
      <c r="I272" s="19"/>
      <c r="J272" s="19"/>
      <c r="K272" s="19"/>
      <c r="L272" s="19"/>
      <c r="M272" s="19"/>
      <c r="N272" s="19"/>
      <c r="O272" s="18" t="str">
        <f aca="false">IF(F272="","",IFERROR(INDEX(Parts!$C$6:$C$45,MATCH(F272,Parts!$A$6:$A$45,0)),""))</f>
        <v/>
      </c>
      <c r="P272" s="18" t="str">
        <f aca="false">IF(F272="","",IFERROR(INDEX(Parts!$E$6:$E$45,MATCH(F272,Parts!$A$6:$A$45,0)),""))</f>
        <v/>
      </c>
      <c r="Q272" s="23" t="str">
        <f aca="false">IF(OR(J272="",P272="",P272=0),"",J272/P272+IF(OR(N272="",K272=""),0,IFERROR(N272/INDEX(Parts!$E$6:$E$45,MATCH(K272,Parts!$A$6:$A$45,0)),0)))</f>
        <v/>
      </c>
      <c r="R272" s="24" t="str">
        <f aca="false">IF(B272="","",IF(J272="",0,J272*IFERROR(INDEX(Parts!$F$6:$F$45,MATCH(F272,Parts!$A$6:$A$45,0)),0))+IF(N272="",0,N272*IFERROR(INDEX(Parts!$F$6:$F$45,MATCH(K272,Parts!$A$6:$A$45,0)),0)))</f>
        <v/>
      </c>
      <c r="S272" s="19"/>
      <c r="T272" s="19"/>
      <c r="U272" s="18" t="str">
        <f aca="false">IF(B272="","",IF(F272="",Settings!$B$9,IFERROR(INDEX(Parts!$H$6:$H$45,MATCH(F272,Parts!$A$6:$A$45,0))+0,Settings!$B$9)))</f>
        <v/>
      </c>
      <c r="V272" s="22" t="str">
        <f aca="false">IF(B272="","",IF(INDEX($E$7:$E$336,ROW()-6+Settings!$B$7)&lt;&gt;"",INDEX($E$7:$E$336,ROW()-6+Settings!$B$7),E272+Settings!$B$7*D272/1440))</f>
        <v/>
      </c>
      <c r="W272" s="22" t="str">
        <f aca="false">IF(B272="","",IF(INDEX($E$7:$E$336,ROW()-6+Settings!$B$7+Settings!$B$8)&lt;&gt;"",INDEX($E$7:$E$336,ROW()-6+Settings!$B$7+Settings!$B$8),E272+(Settings!$B$7+Settings!$B$8)*D272/1440)+U272/1440)</f>
        <v/>
      </c>
      <c r="X272" s="18" t="str">
        <f aca="false">IF(B272="","",IF(INDEX($E$7:$E$336,ROW()-6+Settings!$B$7+Settings!$B$8)&lt;&gt;"","line","estimate"))</f>
        <v/>
      </c>
      <c r="Y272" s="25" t="str">
        <f aca="false">IF(B272="","",INT(W272-Settings!$B$6))</f>
        <v/>
      </c>
      <c r="Z272" s="19"/>
      <c r="AA272" s="18" t="str">
        <f aca="false">IF(B272="","",IF(AND(B272&lt;&gt;"Empty",F272=""),"part missing; ","")&amp;IF(AND(F272&lt;&gt;"",J272=""),"pieces missing; ","")&amp;IF(AND(F272&lt;&gt;"",O272=""),"part not on the Parts sheet; ","")&amp;IF(AND(B272="Empty",OR(F272&lt;&gt;"",K272&lt;&gt;"")),"empty tray with parts; ","")&amp;IF(AND(B272="Loaded",K272&lt;&gt;""),"second part: type Mixed; ","")&amp;IF(AND(Q272&lt;&gt;"",N(Q272)&gt;1),"over 100 % of the spec load; ","")&amp;IF(N(R272)&gt;Settings!$B$10,"over the tray maximum (kg); ","")&amp;IF(AND(K272&lt;&gt;"",IFERROR(INDEX(Parts!$C$6:$C$45,MATCH(K272,Parts!$A$6:$A$45,0)),O272)&lt;&gt;O272),"different processes in one tray; ","")&amp;IF(AND(S272&lt;&gt;"",T272=""),"rework reason missing; ",""))</f>
        <v/>
      </c>
    </row>
    <row r="273" customFormat="false" ht="15" hidden="false" customHeight="false" outlineLevel="0" collapsed="false">
      <c r="A273" s="18" t="str">
        <f aca="false">IF(B273="","",COUNTA(B$7:B273))</f>
        <v/>
      </c>
      <c r="B273" s="19"/>
      <c r="C273" s="20"/>
      <c r="D273" s="19" t="str">
        <f aca="false">IF(B273="","",IF(D272="",Report!$B$12,D272))</f>
        <v/>
      </c>
      <c r="E273" s="22" t="str">
        <f aca="false">IF(B273="","",IF(C273&lt;&gt;"",C273,E272+D272/1440+SUMIFS(Holds!$F$7:$F$46,Holds!$B$7:$B$46,"&gt;="&amp;E272,Holds!$B$7:$B$46,"&lt;"&amp;E272+D272/1440)/1440))</f>
        <v/>
      </c>
      <c r="F273" s="19"/>
      <c r="G273" s="19"/>
      <c r="H273" s="19"/>
      <c r="I273" s="19"/>
      <c r="J273" s="19"/>
      <c r="K273" s="19"/>
      <c r="L273" s="19"/>
      <c r="M273" s="19"/>
      <c r="N273" s="19"/>
      <c r="O273" s="18" t="str">
        <f aca="false">IF(F273="","",IFERROR(INDEX(Parts!$C$6:$C$45,MATCH(F273,Parts!$A$6:$A$45,0)),""))</f>
        <v/>
      </c>
      <c r="P273" s="18" t="str">
        <f aca="false">IF(F273="","",IFERROR(INDEX(Parts!$E$6:$E$45,MATCH(F273,Parts!$A$6:$A$45,0)),""))</f>
        <v/>
      </c>
      <c r="Q273" s="23" t="str">
        <f aca="false">IF(OR(J273="",P273="",P273=0),"",J273/P273+IF(OR(N273="",K273=""),0,IFERROR(N273/INDEX(Parts!$E$6:$E$45,MATCH(K273,Parts!$A$6:$A$45,0)),0)))</f>
        <v/>
      </c>
      <c r="R273" s="24" t="str">
        <f aca="false">IF(B273="","",IF(J273="",0,J273*IFERROR(INDEX(Parts!$F$6:$F$45,MATCH(F273,Parts!$A$6:$A$45,0)),0))+IF(N273="",0,N273*IFERROR(INDEX(Parts!$F$6:$F$45,MATCH(K273,Parts!$A$6:$A$45,0)),0)))</f>
        <v/>
      </c>
      <c r="S273" s="19"/>
      <c r="T273" s="19"/>
      <c r="U273" s="18" t="str">
        <f aca="false">IF(B273="","",IF(F273="",Settings!$B$9,IFERROR(INDEX(Parts!$H$6:$H$45,MATCH(F273,Parts!$A$6:$A$45,0))+0,Settings!$B$9)))</f>
        <v/>
      </c>
      <c r="V273" s="22" t="str">
        <f aca="false">IF(B273="","",IF(INDEX($E$7:$E$336,ROW()-6+Settings!$B$7)&lt;&gt;"",INDEX($E$7:$E$336,ROW()-6+Settings!$B$7),E273+Settings!$B$7*D273/1440))</f>
        <v/>
      </c>
      <c r="W273" s="22" t="str">
        <f aca="false">IF(B273="","",IF(INDEX($E$7:$E$336,ROW()-6+Settings!$B$7+Settings!$B$8)&lt;&gt;"",INDEX($E$7:$E$336,ROW()-6+Settings!$B$7+Settings!$B$8),E273+(Settings!$B$7+Settings!$B$8)*D273/1440)+U273/1440)</f>
        <v/>
      </c>
      <c r="X273" s="18" t="str">
        <f aca="false">IF(B273="","",IF(INDEX($E$7:$E$336,ROW()-6+Settings!$B$7+Settings!$B$8)&lt;&gt;"","line","estimate"))</f>
        <v/>
      </c>
      <c r="Y273" s="25" t="str">
        <f aca="false">IF(B273="","",INT(W273-Settings!$B$6))</f>
        <v/>
      </c>
      <c r="Z273" s="19"/>
      <c r="AA273" s="18" t="str">
        <f aca="false">IF(B273="","",IF(AND(B273&lt;&gt;"Empty",F273=""),"part missing; ","")&amp;IF(AND(F273&lt;&gt;"",J273=""),"pieces missing; ","")&amp;IF(AND(F273&lt;&gt;"",O273=""),"part not on the Parts sheet; ","")&amp;IF(AND(B273="Empty",OR(F273&lt;&gt;"",K273&lt;&gt;"")),"empty tray with parts; ","")&amp;IF(AND(B273="Loaded",K273&lt;&gt;""),"second part: type Mixed; ","")&amp;IF(AND(Q273&lt;&gt;"",N(Q273)&gt;1),"over 100 % of the spec load; ","")&amp;IF(N(R273)&gt;Settings!$B$10,"over the tray maximum (kg); ","")&amp;IF(AND(K273&lt;&gt;"",IFERROR(INDEX(Parts!$C$6:$C$45,MATCH(K273,Parts!$A$6:$A$45,0)),O273)&lt;&gt;O273),"different processes in one tray; ","")&amp;IF(AND(S273&lt;&gt;"",T273=""),"rework reason missing; ",""))</f>
        <v/>
      </c>
    </row>
    <row r="274" customFormat="false" ht="15" hidden="false" customHeight="false" outlineLevel="0" collapsed="false">
      <c r="A274" s="18" t="str">
        <f aca="false">IF(B274="","",COUNTA(B$7:B274))</f>
        <v/>
      </c>
      <c r="B274" s="19"/>
      <c r="C274" s="20"/>
      <c r="D274" s="19" t="str">
        <f aca="false">IF(B274="","",IF(D273="",Report!$B$12,D273))</f>
        <v/>
      </c>
      <c r="E274" s="22" t="str">
        <f aca="false">IF(B274="","",IF(C274&lt;&gt;"",C274,E273+D273/1440+SUMIFS(Holds!$F$7:$F$46,Holds!$B$7:$B$46,"&gt;="&amp;E273,Holds!$B$7:$B$46,"&lt;"&amp;E273+D273/1440)/1440))</f>
        <v/>
      </c>
      <c r="F274" s="19"/>
      <c r="G274" s="19"/>
      <c r="H274" s="19"/>
      <c r="I274" s="19"/>
      <c r="J274" s="19"/>
      <c r="K274" s="19"/>
      <c r="L274" s="19"/>
      <c r="M274" s="19"/>
      <c r="N274" s="19"/>
      <c r="O274" s="18" t="str">
        <f aca="false">IF(F274="","",IFERROR(INDEX(Parts!$C$6:$C$45,MATCH(F274,Parts!$A$6:$A$45,0)),""))</f>
        <v/>
      </c>
      <c r="P274" s="18" t="str">
        <f aca="false">IF(F274="","",IFERROR(INDEX(Parts!$E$6:$E$45,MATCH(F274,Parts!$A$6:$A$45,0)),""))</f>
        <v/>
      </c>
      <c r="Q274" s="23" t="str">
        <f aca="false">IF(OR(J274="",P274="",P274=0),"",J274/P274+IF(OR(N274="",K274=""),0,IFERROR(N274/INDEX(Parts!$E$6:$E$45,MATCH(K274,Parts!$A$6:$A$45,0)),0)))</f>
        <v/>
      </c>
      <c r="R274" s="24" t="str">
        <f aca="false">IF(B274="","",IF(J274="",0,J274*IFERROR(INDEX(Parts!$F$6:$F$45,MATCH(F274,Parts!$A$6:$A$45,0)),0))+IF(N274="",0,N274*IFERROR(INDEX(Parts!$F$6:$F$45,MATCH(K274,Parts!$A$6:$A$45,0)),0)))</f>
        <v/>
      </c>
      <c r="S274" s="19"/>
      <c r="T274" s="19"/>
      <c r="U274" s="18" t="str">
        <f aca="false">IF(B274="","",IF(F274="",Settings!$B$9,IFERROR(INDEX(Parts!$H$6:$H$45,MATCH(F274,Parts!$A$6:$A$45,0))+0,Settings!$B$9)))</f>
        <v/>
      </c>
      <c r="V274" s="22" t="str">
        <f aca="false">IF(B274="","",IF(INDEX($E$7:$E$336,ROW()-6+Settings!$B$7)&lt;&gt;"",INDEX($E$7:$E$336,ROW()-6+Settings!$B$7),E274+Settings!$B$7*D274/1440))</f>
        <v/>
      </c>
      <c r="W274" s="22" t="str">
        <f aca="false">IF(B274="","",IF(INDEX($E$7:$E$336,ROW()-6+Settings!$B$7+Settings!$B$8)&lt;&gt;"",INDEX($E$7:$E$336,ROW()-6+Settings!$B$7+Settings!$B$8),E274+(Settings!$B$7+Settings!$B$8)*D274/1440)+U274/1440)</f>
        <v/>
      </c>
      <c r="X274" s="18" t="str">
        <f aca="false">IF(B274="","",IF(INDEX($E$7:$E$336,ROW()-6+Settings!$B$7+Settings!$B$8)&lt;&gt;"","line","estimate"))</f>
        <v/>
      </c>
      <c r="Y274" s="25" t="str">
        <f aca="false">IF(B274="","",INT(W274-Settings!$B$6))</f>
        <v/>
      </c>
      <c r="Z274" s="19"/>
      <c r="AA274" s="18" t="str">
        <f aca="false">IF(B274="","",IF(AND(B274&lt;&gt;"Empty",F274=""),"part missing; ","")&amp;IF(AND(F274&lt;&gt;"",J274=""),"pieces missing; ","")&amp;IF(AND(F274&lt;&gt;"",O274=""),"part not on the Parts sheet; ","")&amp;IF(AND(B274="Empty",OR(F274&lt;&gt;"",K274&lt;&gt;"")),"empty tray with parts; ","")&amp;IF(AND(B274="Loaded",K274&lt;&gt;""),"second part: type Mixed; ","")&amp;IF(AND(Q274&lt;&gt;"",N(Q274)&gt;1),"over 100 % of the spec load; ","")&amp;IF(N(R274)&gt;Settings!$B$10,"over the tray maximum (kg); ","")&amp;IF(AND(K274&lt;&gt;"",IFERROR(INDEX(Parts!$C$6:$C$45,MATCH(K274,Parts!$A$6:$A$45,0)),O274)&lt;&gt;O274),"different processes in one tray; ","")&amp;IF(AND(S274&lt;&gt;"",T274=""),"rework reason missing; ",""))</f>
        <v/>
      </c>
    </row>
    <row r="275" customFormat="false" ht="15" hidden="false" customHeight="false" outlineLevel="0" collapsed="false">
      <c r="A275" s="18" t="str">
        <f aca="false">IF(B275="","",COUNTA(B$7:B275))</f>
        <v/>
      </c>
      <c r="B275" s="19"/>
      <c r="C275" s="20"/>
      <c r="D275" s="19" t="str">
        <f aca="false">IF(B275="","",IF(D274="",Report!$B$12,D274))</f>
        <v/>
      </c>
      <c r="E275" s="22" t="str">
        <f aca="false">IF(B275="","",IF(C275&lt;&gt;"",C275,E274+D274/1440+SUMIFS(Holds!$F$7:$F$46,Holds!$B$7:$B$46,"&gt;="&amp;E274,Holds!$B$7:$B$46,"&lt;"&amp;E274+D274/1440)/1440))</f>
        <v/>
      </c>
      <c r="F275" s="19"/>
      <c r="G275" s="19"/>
      <c r="H275" s="19"/>
      <c r="I275" s="19"/>
      <c r="J275" s="19"/>
      <c r="K275" s="19"/>
      <c r="L275" s="19"/>
      <c r="M275" s="19"/>
      <c r="N275" s="19"/>
      <c r="O275" s="18" t="str">
        <f aca="false">IF(F275="","",IFERROR(INDEX(Parts!$C$6:$C$45,MATCH(F275,Parts!$A$6:$A$45,0)),""))</f>
        <v/>
      </c>
      <c r="P275" s="18" t="str">
        <f aca="false">IF(F275="","",IFERROR(INDEX(Parts!$E$6:$E$45,MATCH(F275,Parts!$A$6:$A$45,0)),""))</f>
        <v/>
      </c>
      <c r="Q275" s="23" t="str">
        <f aca="false">IF(OR(J275="",P275="",P275=0),"",J275/P275+IF(OR(N275="",K275=""),0,IFERROR(N275/INDEX(Parts!$E$6:$E$45,MATCH(K275,Parts!$A$6:$A$45,0)),0)))</f>
        <v/>
      </c>
      <c r="R275" s="24" t="str">
        <f aca="false">IF(B275="","",IF(J275="",0,J275*IFERROR(INDEX(Parts!$F$6:$F$45,MATCH(F275,Parts!$A$6:$A$45,0)),0))+IF(N275="",0,N275*IFERROR(INDEX(Parts!$F$6:$F$45,MATCH(K275,Parts!$A$6:$A$45,0)),0)))</f>
        <v/>
      </c>
      <c r="S275" s="19"/>
      <c r="T275" s="19"/>
      <c r="U275" s="18" t="str">
        <f aca="false">IF(B275="","",IF(F275="",Settings!$B$9,IFERROR(INDEX(Parts!$H$6:$H$45,MATCH(F275,Parts!$A$6:$A$45,0))+0,Settings!$B$9)))</f>
        <v/>
      </c>
      <c r="V275" s="22" t="str">
        <f aca="false">IF(B275="","",IF(INDEX($E$7:$E$336,ROW()-6+Settings!$B$7)&lt;&gt;"",INDEX($E$7:$E$336,ROW()-6+Settings!$B$7),E275+Settings!$B$7*D275/1440))</f>
        <v/>
      </c>
      <c r="W275" s="22" t="str">
        <f aca="false">IF(B275="","",IF(INDEX($E$7:$E$336,ROW()-6+Settings!$B$7+Settings!$B$8)&lt;&gt;"",INDEX($E$7:$E$336,ROW()-6+Settings!$B$7+Settings!$B$8),E275+(Settings!$B$7+Settings!$B$8)*D275/1440)+U275/1440)</f>
        <v/>
      </c>
      <c r="X275" s="18" t="str">
        <f aca="false">IF(B275="","",IF(INDEX($E$7:$E$336,ROW()-6+Settings!$B$7+Settings!$B$8)&lt;&gt;"","line","estimate"))</f>
        <v/>
      </c>
      <c r="Y275" s="25" t="str">
        <f aca="false">IF(B275="","",INT(W275-Settings!$B$6))</f>
        <v/>
      </c>
      <c r="Z275" s="19"/>
      <c r="AA275" s="18" t="str">
        <f aca="false">IF(B275="","",IF(AND(B275&lt;&gt;"Empty",F275=""),"part missing; ","")&amp;IF(AND(F275&lt;&gt;"",J275=""),"pieces missing; ","")&amp;IF(AND(F275&lt;&gt;"",O275=""),"part not on the Parts sheet; ","")&amp;IF(AND(B275="Empty",OR(F275&lt;&gt;"",K275&lt;&gt;"")),"empty tray with parts; ","")&amp;IF(AND(B275="Loaded",K275&lt;&gt;""),"second part: type Mixed; ","")&amp;IF(AND(Q275&lt;&gt;"",N(Q275)&gt;1),"over 100 % of the spec load; ","")&amp;IF(N(R275)&gt;Settings!$B$10,"over the tray maximum (kg); ","")&amp;IF(AND(K275&lt;&gt;"",IFERROR(INDEX(Parts!$C$6:$C$45,MATCH(K275,Parts!$A$6:$A$45,0)),O275)&lt;&gt;O275),"different processes in one tray; ","")&amp;IF(AND(S275&lt;&gt;"",T275=""),"rework reason missing; ",""))</f>
        <v/>
      </c>
    </row>
    <row r="276" customFormat="false" ht="15" hidden="false" customHeight="false" outlineLevel="0" collapsed="false">
      <c r="A276" s="18" t="str">
        <f aca="false">IF(B276="","",COUNTA(B$7:B276))</f>
        <v/>
      </c>
      <c r="B276" s="19"/>
      <c r="C276" s="20"/>
      <c r="D276" s="19" t="str">
        <f aca="false">IF(B276="","",IF(D275="",Report!$B$12,D275))</f>
        <v/>
      </c>
      <c r="E276" s="22" t="str">
        <f aca="false">IF(B276="","",IF(C276&lt;&gt;"",C276,E275+D275/1440+SUMIFS(Holds!$F$7:$F$46,Holds!$B$7:$B$46,"&gt;="&amp;E275,Holds!$B$7:$B$46,"&lt;"&amp;E275+D275/1440)/1440))</f>
        <v/>
      </c>
      <c r="F276" s="19"/>
      <c r="G276" s="19"/>
      <c r="H276" s="19"/>
      <c r="I276" s="19"/>
      <c r="J276" s="19"/>
      <c r="K276" s="19"/>
      <c r="L276" s="19"/>
      <c r="M276" s="19"/>
      <c r="N276" s="19"/>
      <c r="O276" s="18" t="str">
        <f aca="false">IF(F276="","",IFERROR(INDEX(Parts!$C$6:$C$45,MATCH(F276,Parts!$A$6:$A$45,0)),""))</f>
        <v/>
      </c>
      <c r="P276" s="18" t="str">
        <f aca="false">IF(F276="","",IFERROR(INDEX(Parts!$E$6:$E$45,MATCH(F276,Parts!$A$6:$A$45,0)),""))</f>
        <v/>
      </c>
      <c r="Q276" s="23" t="str">
        <f aca="false">IF(OR(J276="",P276="",P276=0),"",J276/P276+IF(OR(N276="",K276=""),0,IFERROR(N276/INDEX(Parts!$E$6:$E$45,MATCH(K276,Parts!$A$6:$A$45,0)),0)))</f>
        <v/>
      </c>
      <c r="R276" s="24" t="str">
        <f aca="false">IF(B276="","",IF(J276="",0,J276*IFERROR(INDEX(Parts!$F$6:$F$45,MATCH(F276,Parts!$A$6:$A$45,0)),0))+IF(N276="",0,N276*IFERROR(INDEX(Parts!$F$6:$F$45,MATCH(K276,Parts!$A$6:$A$45,0)),0)))</f>
        <v/>
      </c>
      <c r="S276" s="19"/>
      <c r="T276" s="19"/>
      <c r="U276" s="18" t="str">
        <f aca="false">IF(B276="","",IF(F276="",Settings!$B$9,IFERROR(INDEX(Parts!$H$6:$H$45,MATCH(F276,Parts!$A$6:$A$45,0))+0,Settings!$B$9)))</f>
        <v/>
      </c>
      <c r="V276" s="22" t="str">
        <f aca="false">IF(B276="","",IF(INDEX($E$7:$E$336,ROW()-6+Settings!$B$7)&lt;&gt;"",INDEX($E$7:$E$336,ROW()-6+Settings!$B$7),E276+Settings!$B$7*D276/1440))</f>
        <v/>
      </c>
      <c r="W276" s="22" t="str">
        <f aca="false">IF(B276="","",IF(INDEX($E$7:$E$336,ROW()-6+Settings!$B$7+Settings!$B$8)&lt;&gt;"",INDEX($E$7:$E$336,ROW()-6+Settings!$B$7+Settings!$B$8),E276+(Settings!$B$7+Settings!$B$8)*D276/1440)+U276/1440)</f>
        <v/>
      </c>
      <c r="X276" s="18" t="str">
        <f aca="false">IF(B276="","",IF(INDEX($E$7:$E$336,ROW()-6+Settings!$B$7+Settings!$B$8)&lt;&gt;"","line","estimate"))</f>
        <v/>
      </c>
      <c r="Y276" s="25" t="str">
        <f aca="false">IF(B276="","",INT(W276-Settings!$B$6))</f>
        <v/>
      </c>
      <c r="Z276" s="19"/>
      <c r="AA276" s="18" t="str">
        <f aca="false">IF(B276="","",IF(AND(B276&lt;&gt;"Empty",F276=""),"part missing; ","")&amp;IF(AND(F276&lt;&gt;"",J276=""),"pieces missing; ","")&amp;IF(AND(F276&lt;&gt;"",O276=""),"part not on the Parts sheet; ","")&amp;IF(AND(B276="Empty",OR(F276&lt;&gt;"",K276&lt;&gt;"")),"empty tray with parts; ","")&amp;IF(AND(B276="Loaded",K276&lt;&gt;""),"second part: type Mixed; ","")&amp;IF(AND(Q276&lt;&gt;"",N(Q276)&gt;1),"over 100 % of the spec load; ","")&amp;IF(N(R276)&gt;Settings!$B$10,"over the tray maximum (kg); ","")&amp;IF(AND(K276&lt;&gt;"",IFERROR(INDEX(Parts!$C$6:$C$45,MATCH(K276,Parts!$A$6:$A$45,0)),O276)&lt;&gt;O276),"different processes in one tray; ","")&amp;IF(AND(S276&lt;&gt;"",T276=""),"rework reason missing; ",""))</f>
        <v/>
      </c>
    </row>
    <row r="277" customFormat="false" ht="15" hidden="false" customHeight="false" outlineLevel="0" collapsed="false">
      <c r="A277" s="18" t="str">
        <f aca="false">IF(B277="","",COUNTA(B$7:B277))</f>
        <v/>
      </c>
      <c r="B277" s="19"/>
      <c r="C277" s="20"/>
      <c r="D277" s="19" t="str">
        <f aca="false">IF(B277="","",IF(D276="",Report!$B$12,D276))</f>
        <v/>
      </c>
      <c r="E277" s="22" t="str">
        <f aca="false">IF(B277="","",IF(C277&lt;&gt;"",C277,E276+D276/1440+SUMIFS(Holds!$F$7:$F$46,Holds!$B$7:$B$46,"&gt;="&amp;E276,Holds!$B$7:$B$46,"&lt;"&amp;E276+D276/1440)/1440))</f>
        <v/>
      </c>
      <c r="F277" s="19"/>
      <c r="G277" s="19"/>
      <c r="H277" s="19"/>
      <c r="I277" s="19"/>
      <c r="J277" s="19"/>
      <c r="K277" s="19"/>
      <c r="L277" s="19"/>
      <c r="M277" s="19"/>
      <c r="N277" s="19"/>
      <c r="O277" s="18" t="str">
        <f aca="false">IF(F277="","",IFERROR(INDEX(Parts!$C$6:$C$45,MATCH(F277,Parts!$A$6:$A$45,0)),""))</f>
        <v/>
      </c>
      <c r="P277" s="18" t="str">
        <f aca="false">IF(F277="","",IFERROR(INDEX(Parts!$E$6:$E$45,MATCH(F277,Parts!$A$6:$A$45,0)),""))</f>
        <v/>
      </c>
      <c r="Q277" s="23" t="str">
        <f aca="false">IF(OR(J277="",P277="",P277=0),"",J277/P277+IF(OR(N277="",K277=""),0,IFERROR(N277/INDEX(Parts!$E$6:$E$45,MATCH(K277,Parts!$A$6:$A$45,0)),0)))</f>
        <v/>
      </c>
      <c r="R277" s="24" t="str">
        <f aca="false">IF(B277="","",IF(J277="",0,J277*IFERROR(INDEX(Parts!$F$6:$F$45,MATCH(F277,Parts!$A$6:$A$45,0)),0))+IF(N277="",0,N277*IFERROR(INDEX(Parts!$F$6:$F$45,MATCH(K277,Parts!$A$6:$A$45,0)),0)))</f>
        <v/>
      </c>
      <c r="S277" s="19"/>
      <c r="T277" s="19"/>
      <c r="U277" s="18" t="str">
        <f aca="false">IF(B277="","",IF(F277="",Settings!$B$9,IFERROR(INDEX(Parts!$H$6:$H$45,MATCH(F277,Parts!$A$6:$A$45,0))+0,Settings!$B$9)))</f>
        <v/>
      </c>
      <c r="V277" s="22" t="str">
        <f aca="false">IF(B277="","",IF(INDEX($E$7:$E$336,ROW()-6+Settings!$B$7)&lt;&gt;"",INDEX($E$7:$E$336,ROW()-6+Settings!$B$7),E277+Settings!$B$7*D277/1440))</f>
        <v/>
      </c>
      <c r="W277" s="22" t="str">
        <f aca="false">IF(B277="","",IF(INDEX($E$7:$E$336,ROW()-6+Settings!$B$7+Settings!$B$8)&lt;&gt;"",INDEX($E$7:$E$336,ROW()-6+Settings!$B$7+Settings!$B$8),E277+(Settings!$B$7+Settings!$B$8)*D277/1440)+U277/1440)</f>
        <v/>
      </c>
      <c r="X277" s="18" t="str">
        <f aca="false">IF(B277="","",IF(INDEX($E$7:$E$336,ROW()-6+Settings!$B$7+Settings!$B$8)&lt;&gt;"","line","estimate"))</f>
        <v/>
      </c>
      <c r="Y277" s="25" t="str">
        <f aca="false">IF(B277="","",INT(W277-Settings!$B$6))</f>
        <v/>
      </c>
      <c r="Z277" s="19"/>
      <c r="AA277" s="18" t="str">
        <f aca="false">IF(B277="","",IF(AND(B277&lt;&gt;"Empty",F277=""),"part missing; ","")&amp;IF(AND(F277&lt;&gt;"",J277=""),"pieces missing; ","")&amp;IF(AND(F277&lt;&gt;"",O277=""),"part not on the Parts sheet; ","")&amp;IF(AND(B277="Empty",OR(F277&lt;&gt;"",K277&lt;&gt;"")),"empty tray with parts; ","")&amp;IF(AND(B277="Loaded",K277&lt;&gt;""),"second part: type Mixed; ","")&amp;IF(AND(Q277&lt;&gt;"",N(Q277)&gt;1),"over 100 % of the spec load; ","")&amp;IF(N(R277)&gt;Settings!$B$10,"over the tray maximum (kg); ","")&amp;IF(AND(K277&lt;&gt;"",IFERROR(INDEX(Parts!$C$6:$C$45,MATCH(K277,Parts!$A$6:$A$45,0)),O277)&lt;&gt;O277),"different processes in one tray; ","")&amp;IF(AND(S277&lt;&gt;"",T277=""),"rework reason missing; ",""))</f>
        <v/>
      </c>
    </row>
    <row r="278" customFormat="false" ht="15" hidden="false" customHeight="false" outlineLevel="0" collapsed="false">
      <c r="A278" s="18" t="str">
        <f aca="false">IF(B278="","",COUNTA(B$7:B278))</f>
        <v/>
      </c>
      <c r="B278" s="19"/>
      <c r="C278" s="20"/>
      <c r="D278" s="19" t="str">
        <f aca="false">IF(B278="","",IF(D277="",Report!$B$12,D277))</f>
        <v/>
      </c>
      <c r="E278" s="22" t="str">
        <f aca="false">IF(B278="","",IF(C278&lt;&gt;"",C278,E277+D277/1440+SUMIFS(Holds!$F$7:$F$46,Holds!$B$7:$B$46,"&gt;="&amp;E277,Holds!$B$7:$B$46,"&lt;"&amp;E277+D277/1440)/1440))</f>
        <v/>
      </c>
      <c r="F278" s="19"/>
      <c r="G278" s="19"/>
      <c r="H278" s="19"/>
      <c r="I278" s="19"/>
      <c r="J278" s="19"/>
      <c r="K278" s="19"/>
      <c r="L278" s="19"/>
      <c r="M278" s="19"/>
      <c r="N278" s="19"/>
      <c r="O278" s="18" t="str">
        <f aca="false">IF(F278="","",IFERROR(INDEX(Parts!$C$6:$C$45,MATCH(F278,Parts!$A$6:$A$45,0)),""))</f>
        <v/>
      </c>
      <c r="P278" s="18" t="str">
        <f aca="false">IF(F278="","",IFERROR(INDEX(Parts!$E$6:$E$45,MATCH(F278,Parts!$A$6:$A$45,0)),""))</f>
        <v/>
      </c>
      <c r="Q278" s="23" t="str">
        <f aca="false">IF(OR(J278="",P278="",P278=0),"",J278/P278+IF(OR(N278="",K278=""),0,IFERROR(N278/INDEX(Parts!$E$6:$E$45,MATCH(K278,Parts!$A$6:$A$45,0)),0)))</f>
        <v/>
      </c>
      <c r="R278" s="24" t="str">
        <f aca="false">IF(B278="","",IF(J278="",0,J278*IFERROR(INDEX(Parts!$F$6:$F$45,MATCH(F278,Parts!$A$6:$A$45,0)),0))+IF(N278="",0,N278*IFERROR(INDEX(Parts!$F$6:$F$45,MATCH(K278,Parts!$A$6:$A$45,0)),0)))</f>
        <v/>
      </c>
      <c r="S278" s="19"/>
      <c r="T278" s="19"/>
      <c r="U278" s="18" t="str">
        <f aca="false">IF(B278="","",IF(F278="",Settings!$B$9,IFERROR(INDEX(Parts!$H$6:$H$45,MATCH(F278,Parts!$A$6:$A$45,0))+0,Settings!$B$9)))</f>
        <v/>
      </c>
      <c r="V278" s="22" t="str">
        <f aca="false">IF(B278="","",IF(INDEX($E$7:$E$336,ROW()-6+Settings!$B$7)&lt;&gt;"",INDEX($E$7:$E$336,ROW()-6+Settings!$B$7),E278+Settings!$B$7*D278/1440))</f>
        <v/>
      </c>
      <c r="W278" s="22" t="str">
        <f aca="false">IF(B278="","",IF(INDEX($E$7:$E$336,ROW()-6+Settings!$B$7+Settings!$B$8)&lt;&gt;"",INDEX($E$7:$E$336,ROW()-6+Settings!$B$7+Settings!$B$8),E278+(Settings!$B$7+Settings!$B$8)*D278/1440)+U278/1440)</f>
        <v/>
      </c>
      <c r="X278" s="18" t="str">
        <f aca="false">IF(B278="","",IF(INDEX($E$7:$E$336,ROW()-6+Settings!$B$7+Settings!$B$8)&lt;&gt;"","line","estimate"))</f>
        <v/>
      </c>
      <c r="Y278" s="25" t="str">
        <f aca="false">IF(B278="","",INT(W278-Settings!$B$6))</f>
        <v/>
      </c>
      <c r="Z278" s="19"/>
      <c r="AA278" s="18" t="str">
        <f aca="false">IF(B278="","",IF(AND(B278&lt;&gt;"Empty",F278=""),"part missing; ","")&amp;IF(AND(F278&lt;&gt;"",J278=""),"pieces missing; ","")&amp;IF(AND(F278&lt;&gt;"",O278=""),"part not on the Parts sheet; ","")&amp;IF(AND(B278="Empty",OR(F278&lt;&gt;"",K278&lt;&gt;"")),"empty tray with parts; ","")&amp;IF(AND(B278="Loaded",K278&lt;&gt;""),"second part: type Mixed; ","")&amp;IF(AND(Q278&lt;&gt;"",N(Q278)&gt;1),"over 100 % of the spec load; ","")&amp;IF(N(R278)&gt;Settings!$B$10,"over the tray maximum (kg); ","")&amp;IF(AND(K278&lt;&gt;"",IFERROR(INDEX(Parts!$C$6:$C$45,MATCH(K278,Parts!$A$6:$A$45,0)),O278)&lt;&gt;O278),"different processes in one tray; ","")&amp;IF(AND(S278&lt;&gt;"",T278=""),"rework reason missing; ",""))</f>
        <v/>
      </c>
    </row>
    <row r="279" customFormat="false" ht="15" hidden="false" customHeight="false" outlineLevel="0" collapsed="false">
      <c r="A279" s="18" t="str">
        <f aca="false">IF(B279="","",COUNTA(B$7:B279))</f>
        <v/>
      </c>
      <c r="B279" s="19"/>
      <c r="C279" s="20"/>
      <c r="D279" s="19" t="str">
        <f aca="false">IF(B279="","",IF(D278="",Report!$B$12,D278))</f>
        <v/>
      </c>
      <c r="E279" s="22" t="str">
        <f aca="false">IF(B279="","",IF(C279&lt;&gt;"",C279,E278+D278/1440+SUMIFS(Holds!$F$7:$F$46,Holds!$B$7:$B$46,"&gt;="&amp;E278,Holds!$B$7:$B$46,"&lt;"&amp;E278+D278/1440)/1440))</f>
        <v/>
      </c>
      <c r="F279" s="19"/>
      <c r="G279" s="19"/>
      <c r="H279" s="19"/>
      <c r="I279" s="19"/>
      <c r="J279" s="19"/>
      <c r="K279" s="19"/>
      <c r="L279" s="19"/>
      <c r="M279" s="19"/>
      <c r="N279" s="19"/>
      <c r="O279" s="18" t="str">
        <f aca="false">IF(F279="","",IFERROR(INDEX(Parts!$C$6:$C$45,MATCH(F279,Parts!$A$6:$A$45,0)),""))</f>
        <v/>
      </c>
      <c r="P279" s="18" t="str">
        <f aca="false">IF(F279="","",IFERROR(INDEX(Parts!$E$6:$E$45,MATCH(F279,Parts!$A$6:$A$45,0)),""))</f>
        <v/>
      </c>
      <c r="Q279" s="23" t="str">
        <f aca="false">IF(OR(J279="",P279="",P279=0),"",J279/P279+IF(OR(N279="",K279=""),0,IFERROR(N279/INDEX(Parts!$E$6:$E$45,MATCH(K279,Parts!$A$6:$A$45,0)),0)))</f>
        <v/>
      </c>
      <c r="R279" s="24" t="str">
        <f aca="false">IF(B279="","",IF(J279="",0,J279*IFERROR(INDEX(Parts!$F$6:$F$45,MATCH(F279,Parts!$A$6:$A$45,0)),0))+IF(N279="",0,N279*IFERROR(INDEX(Parts!$F$6:$F$45,MATCH(K279,Parts!$A$6:$A$45,0)),0)))</f>
        <v/>
      </c>
      <c r="S279" s="19"/>
      <c r="T279" s="19"/>
      <c r="U279" s="18" t="str">
        <f aca="false">IF(B279="","",IF(F279="",Settings!$B$9,IFERROR(INDEX(Parts!$H$6:$H$45,MATCH(F279,Parts!$A$6:$A$45,0))+0,Settings!$B$9)))</f>
        <v/>
      </c>
      <c r="V279" s="22" t="str">
        <f aca="false">IF(B279="","",IF(INDEX($E$7:$E$336,ROW()-6+Settings!$B$7)&lt;&gt;"",INDEX($E$7:$E$336,ROW()-6+Settings!$B$7),E279+Settings!$B$7*D279/1440))</f>
        <v/>
      </c>
      <c r="W279" s="22" t="str">
        <f aca="false">IF(B279="","",IF(INDEX($E$7:$E$336,ROW()-6+Settings!$B$7+Settings!$B$8)&lt;&gt;"",INDEX($E$7:$E$336,ROW()-6+Settings!$B$7+Settings!$B$8),E279+(Settings!$B$7+Settings!$B$8)*D279/1440)+U279/1440)</f>
        <v/>
      </c>
      <c r="X279" s="18" t="str">
        <f aca="false">IF(B279="","",IF(INDEX($E$7:$E$336,ROW()-6+Settings!$B$7+Settings!$B$8)&lt;&gt;"","line","estimate"))</f>
        <v/>
      </c>
      <c r="Y279" s="25" t="str">
        <f aca="false">IF(B279="","",INT(W279-Settings!$B$6))</f>
        <v/>
      </c>
      <c r="Z279" s="19"/>
      <c r="AA279" s="18" t="str">
        <f aca="false">IF(B279="","",IF(AND(B279&lt;&gt;"Empty",F279=""),"part missing; ","")&amp;IF(AND(F279&lt;&gt;"",J279=""),"pieces missing; ","")&amp;IF(AND(F279&lt;&gt;"",O279=""),"part not on the Parts sheet; ","")&amp;IF(AND(B279="Empty",OR(F279&lt;&gt;"",K279&lt;&gt;"")),"empty tray with parts; ","")&amp;IF(AND(B279="Loaded",K279&lt;&gt;""),"second part: type Mixed; ","")&amp;IF(AND(Q279&lt;&gt;"",N(Q279)&gt;1),"over 100 % of the spec load; ","")&amp;IF(N(R279)&gt;Settings!$B$10,"over the tray maximum (kg); ","")&amp;IF(AND(K279&lt;&gt;"",IFERROR(INDEX(Parts!$C$6:$C$45,MATCH(K279,Parts!$A$6:$A$45,0)),O279)&lt;&gt;O279),"different processes in one tray; ","")&amp;IF(AND(S279&lt;&gt;"",T279=""),"rework reason missing; ",""))</f>
        <v/>
      </c>
    </row>
    <row r="280" customFormat="false" ht="15" hidden="false" customHeight="false" outlineLevel="0" collapsed="false">
      <c r="A280" s="18" t="str">
        <f aca="false">IF(B280="","",COUNTA(B$7:B280))</f>
        <v/>
      </c>
      <c r="B280" s="19"/>
      <c r="C280" s="20"/>
      <c r="D280" s="19" t="str">
        <f aca="false">IF(B280="","",IF(D279="",Report!$B$12,D279))</f>
        <v/>
      </c>
      <c r="E280" s="22" t="str">
        <f aca="false">IF(B280="","",IF(C280&lt;&gt;"",C280,E279+D279/1440+SUMIFS(Holds!$F$7:$F$46,Holds!$B$7:$B$46,"&gt;="&amp;E279,Holds!$B$7:$B$46,"&lt;"&amp;E279+D279/1440)/1440))</f>
        <v/>
      </c>
      <c r="F280" s="19"/>
      <c r="G280" s="19"/>
      <c r="H280" s="19"/>
      <c r="I280" s="19"/>
      <c r="J280" s="19"/>
      <c r="K280" s="19"/>
      <c r="L280" s="19"/>
      <c r="M280" s="19"/>
      <c r="N280" s="19"/>
      <c r="O280" s="18" t="str">
        <f aca="false">IF(F280="","",IFERROR(INDEX(Parts!$C$6:$C$45,MATCH(F280,Parts!$A$6:$A$45,0)),""))</f>
        <v/>
      </c>
      <c r="P280" s="18" t="str">
        <f aca="false">IF(F280="","",IFERROR(INDEX(Parts!$E$6:$E$45,MATCH(F280,Parts!$A$6:$A$45,0)),""))</f>
        <v/>
      </c>
      <c r="Q280" s="23" t="str">
        <f aca="false">IF(OR(J280="",P280="",P280=0),"",J280/P280+IF(OR(N280="",K280=""),0,IFERROR(N280/INDEX(Parts!$E$6:$E$45,MATCH(K280,Parts!$A$6:$A$45,0)),0)))</f>
        <v/>
      </c>
      <c r="R280" s="24" t="str">
        <f aca="false">IF(B280="","",IF(J280="",0,J280*IFERROR(INDEX(Parts!$F$6:$F$45,MATCH(F280,Parts!$A$6:$A$45,0)),0))+IF(N280="",0,N280*IFERROR(INDEX(Parts!$F$6:$F$45,MATCH(K280,Parts!$A$6:$A$45,0)),0)))</f>
        <v/>
      </c>
      <c r="S280" s="19"/>
      <c r="T280" s="19"/>
      <c r="U280" s="18" t="str">
        <f aca="false">IF(B280="","",IF(F280="",Settings!$B$9,IFERROR(INDEX(Parts!$H$6:$H$45,MATCH(F280,Parts!$A$6:$A$45,0))+0,Settings!$B$9)))</f>
        <v/>
      </c>
      <c r="V280" s="22" t="str">
        <f aca="false">IF(B280="","",IF(INDEX($E$7:$E$336,ROW()-6+Settings!$B$7)&lt;&gt;"",INDEX($E$7:$E$336,ROW()-6+Settings!$B$7),E280+Settings!$B$7*D280/1440))</f>
        <v/>
      </c>
      <c r="W280" s="22" t="str">
        <f aca="false">IF(B280="","",IF(INDEX($E$7:$E$336,ROW()-6+Settings!$B$7+Settings!$B$8)&lt;&gt;"",INDEX($E$7:$E$336,ROW()-6+Settings!$B$7+Settings!$B$8),E280+(Settings!$B$7+Settings!$B$8)*D280/1440)+U280/1440)</f>
        <v/>
      </c>
      <c r="X280" s="18" t="str">
        <f aca="false">IF(B280="","",IF(INDEX($E$7:$E$336,ROW()-6+Settings!$B$7+Settings!$B$8)&lt;&gt;"","line","estimate"))</f>
        <v/>
      </c>
      <c r="Y280" s="25" t="str">
        <f aca="false">IF(B280="","",INT(W280-Settings!$B$6))</f>
        <v/>
      </c>
      <c r="Z280" s="19"/>
      <c r="AA280" s="18" t="str">
        <f aca="false">IF(B280="","",IF(AND(B280&lt;&gt;"Empty",F280=""),"part missing; ","")&amp;IF(AND(F280&lt;&gt;"",J280=""),"pieces missing; ","")&amp;IF(AND(F280&lt;&gt;"",O280=""),"part not on the Parts sheet; ","")&amp;IF(AND(B280="Empty",OR(F280&lt;&gt;"",K280&lt;&gt;"")),"empty tray with parts; ","")&amp;IF(AND(B280="Loaded",K280&lt;&gt;""),"second part: type Mixed; ","")&amp;IF(AND(Q280&lt;&gt;"",N(Q280)&gt;1),"over 100 % of the spec load; ","")&amp;IF(N(R280)&gt;Settings!$B$10,"over the tray maximum (kg); ","")&amp;IF(AND(K280&lt;&gt;"",IFERROR(INDEX(Parts!$C$6:$C$45,MATCH(K280,Parts!$A$6:$A$45,0)),O280)&lt;&gt;O280),"different processes in one tray; ","")&amp;IF(AND(S280&lt;&gt;"",T280=""),"rework reason missing; ",""))</f>
        <v/>
      </c>
    </row>
    <row r="281" customFormat="false" ht="15" hidden="false" customHeight="false" outlineLevel="0" collapsed="false">
      <c r="A281" s="18" t="str">
        <f aca="false">IF(B281="","",COUNTA(B$7:B281))</f>
        <v/>
      </c>
      <c r="B281" s="19"/>
      <c r="C281" s="20"/>
      <c r="D281" s="19" t="str">
        <f aca="false">IF(B281="","",IF(D280="",Report!$B$12,D280))</f>
        <v/>
      </c>
      <c r="E281" s="22" t="str">
        <f aca="false">IF(B281="","",IF(C281&lt;&gt;"",C281,E280+D280/1440+SUMIFS(Holds!$F$7:$F$46,Holds!$B$7:$B$46,"&gt;="&amp;E280,Holds!$B$7:$B$46,"&lt;"&amp;E280+D280/1440)/1440))</f>
        <v/>
      </c>
      <c r="F281" s="19"/>
      <c r="G281" s="19"/>
      <c r="H281" s="19"/>
      <c r="I281" s="19"/>
      <c r="J281" s="19"/>
      <c r="K281" s="19"/>
      <c r="L281" s="19"/>
      <c r="M281" s="19"/>
      <c r="N281" s="19"/>
      <c r="O281" s="18" t="str">
        <f aca="false">IF(F281="","",IFERROR(INDEX(Parts!$C$6:$C$45,MATCH(F281,Parts!$A$6:$A$45,0)),""))</f>
        <v/>
      </c>
      <c r="P281" s="18" t="str">
        <f aca="false">IF(F281="","",IFERROR(INDEX(Parts!$E$6:$E$45,MATCH(F281,Parts!$A$6:$A$45,0)),""))</f>
        <v/>
      </c>
      <c r="Q281" s="23" t="str">
        <f aca="false">IF(OR(J281="",P281="",P281=0),"",J281/P281+IF(OR(N281="",K281=""),0,IFERROR(N281/INDEX(Parts!$E$6:$E$45,MATCH(K281,Parts!$A$6:$A$45,0)),0)))</f>
        <v/>
      </c>
      <c r="R281" s="24" t="str">
        <f aca="false">IF(B281="","",IF(J281="",0,J281*IFERROR(INDEX(Parts!$F$6:$F$45,MATCH(F281,Parts!$A$6:$A$45,0)),0))+IF(N281="",0,N281*IFERROR(INDEX(Parts!$F$6:$F$45,MATCH(K281,Parts!$A$6:$A$45,0)),0)))</f>
        <v/>
      </c>
      <c r="S281" s="19"/>
      <c r="T281" s="19"/>
      <c r="U281" s="18" t="str">
        <f aca="false">IF(B281="","",IF(F281="",Settings!$B$9,IFERROR(INDEX(Parts!$H$6:$H$45,MATCH(F281,Parts!$A$6:$A$45,0))+0,Settings!$B$9)))</f>
        <v/>
      </c>
      <c r="V281" s="22" t="str">
        <f aca="false">IF(B281="","",IF(INDEX($E$7:$E$336,ROW()-6+Settings!$B$7)&lt;&gt;"",INDEX($E$7:$E$336,ROW()-6+Settings!$B$7),E281+Settings!$B$7*D281/1440))</f>
        <v/>
      </c>
      <c r="W281" s="22" t="str">
        <f aca="false">IF(B281="","",IF(INDEX($E$7:$E$336,ROW()-6+Settings!$B$7+Settings!$B$8)&lt;&gt;"",INDEX($E$7:$E$336,ROW()-6+Settings!$B$7+Settings!$B$8),E281+(Settings!$B$7+Settings!$B$8)*D281/1440)+U281/1440)</f>
        <v/>
      </c>
      <c r="X281" s="18" t="str">
        <f aca="false">IF(B281="","",IF(INDEX($E$7:$E$336,ROW()-6+Settings!$B$7+Settings!$B$8)&lt;&gt;"","line","estimate"))</f>
        <v/>
      </c>
      <c r="Y281" s="25" t="str">
        <f aca="false">IF(B281="","",INT(W281-Settings!$B$6))</f>
        <v/>
      </c>
      <c r="Z281" s="19"/>
      <c r="AA281" s="18" t="str">
        <f aca="false">IF(B281="","",IF(AND(B281&lt;&gt;"Empty",F281=""),"part missing; ","")&amp;IF(AND(F281&lt;&gt;"",J281=""),"pieces missing; ","")&amp;IF(AND(F281&lt;&gt;"",O281=""),"part not on the Parts sheet; ","")&amp;IF(AND(B281="Empty",OR(F281&lt;&gt;"",K281&lt;&gt;"")),"empty tray with parts; ","")&amp;IF(AND(B281="Loaded",K281&lt;&gt;""),"second part: type Mixed; ","")&amp;IF(AND(Q281&lt;&gt;"",N(Q281)&gt;1),"over 100 % of the spec load; ","")&amp;IF(N(R281)&gt;Settings!$B$10,"over the tray maximum (kg); ","")&amp;IF(AND(K281&lt;&gt;"",IFERROR(INDEX(Parts!$C$6:$C$45,MATCH(K281,Parts!$A$6:$A$45,0)),O281)&lt;&gt;O281),"different processes in one tray; ","")&amp;IF(AND(S281&lt;&gt;"",T281=""),"rework reason missing; ",""))</f>
        <v/>
      </c>
    </row>
    <row r="282" customFormat="false" ht="15" hidden="false" customHeight="false" outlineLevel="0" collapsed="false">
      <c r="A282" s="18" t="str">
        <f aca="false">IF(B282="","",COUNTA(B$7:B282))</f>
        <v/>
      </c>
      <c r="B282" s="19"/>
      <c r="C282" s="20"/>
      <c r="D282" s="19" t="str">
        <f aca="false">IF(B282="","",IF(D281="",Report!$B$12,D281))</f>
        <v/>
      </c>
      <c r="E282" s="22" t="str">
        <f aca="false">IF(B282="","",IF(C282&lt;&gt;"",C282,E281+D281/1440+SUMIFS(Holds!$F$7:$F$46,Holds!$B$7:$B$46,"&gt;="&amp;E281,Holds!$B$7:$B$46,"&lt;"&amp;E281+D281/1440)/1440))</f>
        <v/>
      </c>
      <c r="F282" s="19"/>
      <c r="G282" s="19"/>
      <c r="H282" s="19"/>
      <c r="I282" s="19"/>
      <c r="J282" s="19"/>
      <c r="K282" s="19"/>
      <c r="L282" s="19"/>
      <c r="M282" s="19"/>
      <c r="N282" s="19"/>
      <c r="O282" s="18" t="str">
        <f aca="false">IF(F282="","",IFERROR(INDEX(Parts!$C$6:$C$45,MATCH(F282,Parts!$A$6:$A$45,0)),""))</f>
        <v/>
      </c>
      <c r="P282" s="18" t="str">
        <f aca="false">IF(F282="","",IFERROR(INDEX(Parts!$E$6:$E$45,MATCH(F282,Parts!$A$6:$A$45,0)),""))</f>
        <v/>
      </c>
      <c r="Q282" s="23" t="str">
        <f aca="false">IF(OR(J282="",P282="",P282=0),"",J282/P282+IF(OR(N282="",K282=""),0,IFERROR(N282/INDEX(Parts!$E$6:$E$45,MATCH(K282,Parts!$A$6:$A$45,0)),0)))</f>
        <v/>
      </c>
      <c r="R282" s="24" t="str">
        <f aca="false">IF(B282="","",IF(J282="",0,J282*IFERROR(INDEX(Parts!$F$6:$F$45,MATCH(F282,Parts!$A$6:$A$45,0)),0))+IF(N282="",0,N282*IFERROR(INDEX(Parts!$F$6:$F$45,MATCH(K282,Parts!$A$6:$A$45,0)),0)))</f>
        <v/>
      </c>
      <c r="S282" s="19"/>
      <c r="T282" s="19"/>
      <c r="U282" s="18" t="str">
        <f aca="false">IF(B282="","",IF(F282="",Settings!$B$9,IFERROR(INDEX(Parts!$H$6:$H$45,MATCH(F282,Parts!$A$6:$A$45,0))+0,Settings!$B$9)))</f>
        <v/>
      </c>
      <c r="V282" s="22" t="str">
        <f aca="false">IF(B282="","",IF(INDEX($E$7:$E$336,ROW()-6+Settings!$B$7)&lt;&gt;"",INDEX($E$7:$E$336,ROW()-6+Settings!$B$7),E282+Settings!$B$7*D282/1440))</f>
        <v/>
      </c>
      <c r="W282" s="22" t="str">
        <f aca="false">IF(B282="","",IF(INDEX($E$7:$E$336,ROW()-6+Settings!$B$7+Settings!$B$8)&lt;&gt;"",INDEX($E$7:$E$336,ROW()-6+Settings!$B$7+Settings!$B$8),E282+(Settings!$B$7+Settings!$B$8)*D282/1440)+U282/1440)</f>
        <v/>
      </c>
      <c r="X282" s="18" t="str">
        <f aca="false">IF(B282="","",IF(INDEX($E$7:$E$336,ROW()-6+Settings!$B$7+Settings!$B$8)&lt;&gt;"","line","estimate"))</f>
        <v/>
      </c>
      <c r="Y282" s="25" t="str">
        <f aca="false">IF(B282="","",INT(W282-Settings!$B$6))</f>
        <v/>
      </c>
      <c r="Z282" s="19"/>
      <c r="AA282" s="18" t="str">
        <f aca="false">IF(B282="","",IF(AND(B282&lt;&gt;"Empty",F282=""),"part missing; ","")&amp;IF(AND(F282&lt;&gt;"",J282=""),"pieces missing; ","")&amp;IF(AND(F282&lt;&gt;"",O282=""),"part not on the Parts sheet; ","")&amp;IF(AND(B282="Empty",OR(F282&lt;&gt;"",K282&lt;&gt;"")),"empty tray with parts; ","")&amp;IF(AND(B282="Loaded",K282&lt;&gt;""),"second part: type Mixed; ","")&amp;IF(AND(Q282&lt;&gt;"",N(Q282)&gt;1),"over 100 % of the spec load; ","")&amp;IF(N(R282)&gt;Settings!$B$10,"over the tray maximum (kg); ","")&amp;IF(AND(K282&lt;&gt;"",IFERROR(INDEX(Parts!$C$6:$C$45,MATCH(K282,Parts!$A$6:$A$45,0)),O282)&lt;&gt;O282),"different processes in one tray; ","")&amp;IF(AND(S282&lt;&gt;"",T282=""),"rework reason missing; ",""))</f>
        <v/>
      </c>
    </row>
    <row r="283" customFormat="false" ht="15" hidden="false" customHeight="false" outlineLevel="0" collapsed="false">
      <c r="A283" s="18" t="str">
        <f aca="false">IF(B283="","",COUNTA(B$7:B283))</f>
        <v/>
      </c>
      <c r="B283" s="19"/>
      <c r="C283" s="20"/>
      <c r="D283" s="19" t="str">
        <f aca="false">IF(B283="","",IF(D282="",Report!$B$12,D282))</f>
        <v/>
      </c>
      <c r="E283" s="22" t="str">
        <f aca="false">IF(B283="","",IF(C283&lt;&gt;"",C283,E282+D282/1440+SUMIFS(Holds!$F$7:$F$46,Holds!$B$7:$B$46,"&gt;="&amp;E282,Holds!$B$7:$B$46,"&lt;"&amp;E282+D282/1440)/1440))</f>
        <v/>
      </c>
      <c r="F283" s="19"/>
      <c r="G283" s="19"/>
      <c r="H283" s="19"/>
      <c r="I283" s="19"/>
      <c r="J283" s="19"/>
      <c r="K283" s="19"/>
      <c r="L283" s="19"/>
      <c r="M283" s="19"/>
      <c r="N283" s="19"/>
      <c r="O283" s="18" t="str">
        <f aca="false">IF(F283="","",IFERROR(INDEX(Parts!$C$6:$C$45,MATCH(F283,Parts!$A$6:$A$45,0)),""))</f>
        <v/>
      </c>
      <c r="P283" s="18" t="str">
        <f aca="false">IF(F283="","",IFERROR(INDEX(Parts!$E$6:$E$45,MATCH(F283,Parts!$A$6:$A$45,0)),""))</f>
        <v/>
      </c>
      <c r="Q283" s="23" t="str">
        <f aca="false">IF(OR(J283="",P283="",P283=0),"",J283/P283+IF(OR(N283="",K283=""),0,IFERROR(N283/INDEX(Parts!$E$6:$E$45,MATCH(K283,Parts!$A$6:$A$45,0)),0)))</f>
        <v/>
      </c>
      <c r="R283" s="24" t="str">
        <f aca="false">IF(B283="","",IF(J283="",0,J283*IFERROR(INDEX(Parts!$F$6:$F$45,MATCH(F283,Parts!$A$6:$A$45,0)),0))+IF(N283="",0,N283*IFERROR(INDEX(Parts!$F$6:$F$45,MATCH(K283,Parts!$A$6:$A$45,0)),0)))</f>
        <v/>
      </c>
      <c r="S283" s="19"/>
      <c r="T283" s="19"/>
      <c r="U283" s="18" t="str">
        <f aca="false">IF(B283="","",IF(F283="",Settings!$B$9,IFERROR(INDEX(Parts!$H$6:$H$45,MATCH(F283,Parts!$A$6:$A$45,0))+0,Settings!$B$9)))</f>
        <v/>
      </c>
      <c r="V283" s="22" t="str">
        <f aca="false">IF(B283="","",IF(INDEX($E$7:$E$336,ROW()-6+Settings!$B$7)&lt;&gt;"",INDEX($E$7:$E$336,ROW()-6+Settings!$B$7),E283+Settings!$B$7*D283/1440))</f>
        <v/>
      </c>
      <c r="W283" s="22" t="str">
        <f aca="false">IF(B283="","",IF(INDEX($E$7:$E$336,ROW()-6+Settings!$B$7+Settings!$B$8)&lt;&gt;"",INDEX($E$7:$E$336,ROW()-6+Settings!$B$7+Settings!$B$8),E283+(Settings!$B$7+Settings!$B$8)*D283/1440)+U283/1440)</f>
        <v/>
      </c>
      <c r="X283" s="18" t="str">
        <f aca="false">IF(B283="","",IF(INDEX($E$7:$E$336,ROW()-6+Settings!$B$7+Settings!$B$8)&lt;&gt;"","line","estimate"))</f>
        <v/>
      </c>
      <c r="Y283" s="25" t="str">
        <f aca="false">IF(B283="","",INT(W283-Settings!$B$6))</f>
        <v/>
      </c>
      <c r="Z283" s="19"/>
      <c r="AA283" s="18" t="str">
        <f aca="false">IF(B283="","",IF(AND(B283&lt;&gt;"Empty",F283=""),"part missing; ","")&amp;IF(AND(F283&lt;&gt;"",J283=""),"pieces missing; ","")&amp;IF(AND(F283&lt;&gt;"",O283=""),"part not on the Parts sheet; ","")&amp;IF(AND(B283="Empty",OR(F283&lt;&gt;"",K283&lt;&gt;"")),"empty tray with parts; ","")&amp;IF(AND(B283="Loaded",K283&lt;&gt;""),"second part: type Mixed; ","")&amp;IF(AND(Q283&lt;&gt;"",N(Q283)&gt;1),"over 100 % of the spec load; ","")&amp;IF(N(R283)&gt;Settings!$B$10,"over the tray maximum (kg); ","")&amp;IF(AND(K283&lt;&gt;"",IFERROR(INDEX(Parts!$C$6:$C$45,MATCH(K283,Parts!$A$6:$A$45,0)),O283)&lt;&gt;O283),"different processes in one tray; ","")&amp;IF(AND(S283&lt;&gt;"",T283=""),"rework reason missing; ",""))</f>
        <v/>
      </c>
    </row>
    <row r="284" customFormat="false" ht="15" hidden="false" customHeight="false" outlineLevel="0" collapsed="false">
      <c r="A284" s="18" t="str">
        <f aca="false">IF(B284="","",COUNTA(B$7:B284))</f>
        <v/>
      </c>
      <c r="B284" s="19"/>
      <c r="C284" s="20"/>
      <c r="D284" s="19" t="str">
        <f aca="false">IF(B284="","",IF(D283="",Report!$B$12,D283))</f>
        <v/>
      </c>
      <c r="E284" s="22" t="str">
        <f aca="false">IF(B284="","",IF(C284&lt;&gt;"",C284,E283+D283/1440+SUMIFS(Holds!$F$7:$F$46,Holds!$B$7:$B$46,"&gt;="&amp;E283,Holds!$B$7:$B$46,"&lt;"&amp;E283+D283/1440)/1440))</f>
        <v/>
      </c>
      <c r="F284" s="19"/>
      <c r="G284" s="19"/>
      <c r="H284" s="19"/>
      <c r="I284" s="19"/>
      <c r="J284" s="19"/>
      <c r="K284" s="19"/>
      <c r="L284" s="19"/>
      <c r="M284" s="19"/>
      <c r="N284" s="19"/>
      <c r="O284" s="18" t="str">
        <f aca="false">IF(F284="","",IFERROR(INDEX(Parts!$C$6:$C$45,MATCH(F284,Parts!$A$6:$A$45,0)),""))</f>
        <v/>
      </c>
      <c r="P284" s="18" t="str">
        <f aca="false">IF(F284="","",IFERROR(INDEX(Parts!$E$6:$E$45,MATCH(F284,Parts!$A$6:$A$45,0)),""))</f>
        <v/>
      </c>
      <c r="Q284" s="23" t="str">
        <f aca="false">IF(OR(J284="",P284="",P284=0),"",J284/P284+IF(OR(N284="",K284=""),0,IFERROR(N284/INDEX(Parts!$E$6:$E$45,MATCH(K284,Parts!$A$6:$A$45,0)),0)))</f>
        <v/>
      </c>
      <c r="R284" s="24" t="str">
        <f aca="false">IF(B284="","",IF(J284="",0,J284*IFERROR(INDEX(Parts!$F$6:$F$45,MATCH(F284,Parts!$A$6:$A$45,0)),0))+IF(N284="",0,N284*IFERROR(INDEX(Parts!$F$6:$F$45,MATCH(K284,Parts!$A$6:$A$45,0)),0)))</f>
        <v/>
      </c>
      <c r="S284" s="19"/>
      <c r="T284" s="19"/>
      <c r="U284" s="18" t="str">
        <f aca="false">IF(B284="","",IF(F284="",Settings!$B$9,IFERROR(INDEX(Parts!$H$6:$H$45,MATCH(F284,Parts!$A$6:$A$45,0))+0,Settings!$B$9)))</f>
        <v/>
      </c>
      <c r="V284" s="22" t="str">
        <f aca="false">IF(B284="","",IF(INDEX($E$7:$E$336,ROW()-6+Settings!$B$7)&lt;&gt;"",INDEX($E$7:$E$336,ROW()-6+Settings!$B$7),E284+Settings!$B$7*D284/1440))</f>
        <v/>
      </c>
      <c r="W284" s="22" t="str">
        <f aca="false">IF(B284="","",IF(INDEX($E$7:$E$336,ROW()-6+Settings!$B$7+Settings!$B$8)&lt;&gt;"",INDEX($E$7:$E$336,ROW()-6+Settings!$B$7+Settings!$B$8),E284+(Settings!$B$7+Settings!$B$8)*D284/1440)+U284/1440)</f>
        <v/>
      </c>
      <c r="X284" s="18" t="str">
        <f aca="false">IF(B284="","",IF(INDEX($E$7:$E$336,ROW()-6+Settings!$B$7+Settings!$B$8)&lt;&gt;"","line","estimate"))</f>
        <v/>
      </c>
      <c r="Y284" s="25" t="str">
        <f aca="false">IF(B284="","",INT(W284-Settings!$B$6))</f>
        <v/>
      </c>
      <c r="Z284" s="19"/>
      <c r="AA284" s="18" t="str">
        <f aca="false">IF(B284="","",IF(AND(B284&lt;&gt;"Empty",F284=""),"part missing; ","")&amp;IF(AND(F284&lt;&gt;"",J284=""),"pieces missing; ","")&amp;IF(AND(F284&lt;&gt;"",O284=""),"part not on the Parts sheet; ","")&amp;IF(AND(B284="Empty",OR(F284&lt;&gt;"",K284&lt;&gt;"")),"empty tray with parts; ","")&amp;IF(AND(B284="Loaded",K284&lt;&gt;""),"second part: type Mixed; ","")&amp;IF(AND(Q284&lt;&gt;"",N(Q284)&gt;1),"over 100 % of the spec load; ","")&amp;IF(N(R284)&gt;Settings!$B$10,"over the tray maximum (kg); ","")&amp;IF(AND(K284&lt;&gt;"",IFERROR(INDEX(Parts!$C$6:$C$45,MATCH(K284,Parts!$A$6:$A$45,0)),O284)&lt;&gt;O284),"different processes in one tray; ","")&amp;IF(AND(S284&lt;&gt;"",T284=""),"rework reason missing; ",""))</f>
        <v/>
      </c>
    </row>
    <row r="285" customFormat="false" ht="15" hidden="false" customHeight="false" outlineLevel="0" collapsed="false">
      <c r="A285" s="18" t="str">
        <f aca="false">IF(B285="","",COUNTA(B$7:B285))</f>
        <v/>
      </c>
      <c r="B285" s="19"/>
      <c r="C285" s="20"/>
      <c r="D285" s="19" t="str">
        <f aca="false">IF(B285="","",IF(D284="",Report!$B$12,D284))</f>
        <v/>
      </c>
      <c r="E285" s="22" t="str">
        <f aca="false">IF(B285="","",IF(C285&lt;&gt;"",C285,E284+D284/1440+SUMIFS(Holds!$F$7:$F$46,Holds!$B$7:$B$46,"&gt;="&amp;E284,Holds!$B$7:$B$46,"&lt;"&amp;E284+D284/1440)/1440))</f>
        <v/>
      </c>
      <c r="F285" s="19"/>
      <c r="G285" s="19"/>
      <c r="H285" s="19"/>
      <c r="I285" s="19"/>
      <c r="J285" s="19"/>
      <c r="K285" s="19"/>
      <c r="L285" s="19"/>
      <c r="M285" s="19"/>
      <c r="N285" s="19"/>
      <c r="O285" s="18" t="str">
        <f aca="false">IF(F285="","",IFERROR(INDEX(Parts!$C$6:$C$45,MATCH(F285,Parts!$A$6:$A$45,0)),""))</f>
        <v/>
      </c>
      <c r="P285" s="18" t="str">
        <f aca="false">IF(F285="","",IFERROR(INDEX(Parts!$E$6:$E$45,MATCH(F285,Parts!$A$6:$A$45,0)),""))</f>
        <v/>
      </c>
      <c r="Q285" s="23" t="str">
        <f aca="false">IF(OR(J285="",P285="",P285=0),"",J285/P285+IF(OR(N285="",K285=""),0,IFERROR(N285/INDEX(Parts!$E$6:$E$45,MATCH(K285,Parts!$A$6:$A$45,0)),0)))</f>
        <v/>
      </c>
      <c r="R285" s="24" t="str">
        <f aca="false">IF(B285="","",IF(J285="",0,J285*IFERROR(INDEX(Parts!$F$6:$F$45,MATCH(F285,Parts!$A$6:$A$45,0)),0))+IF(N285="",0,N285*IFERROR(INDEX(Parts!$F$6:$F$45,MATCH(K285,Parts!$A$6:$A$45,0)),0)))</f>
        <v/>
      </c>
      <c r="S285" s="19"/>
      <c r="T285" s="19"/>
      <c r="U285" s="18" t="str">
        <f aca="false">IF(B285="","",IF(F285="",Settings!$B$9,IFERROR(INDEX(Parts!$H$6:$H$45,MATCH(F285,Parts!$A$6:$A$45,0))+0,Settings!$B$9)))</f>
        <v/>
      </c>
      <c r="V285" s="22" t="str">
        <f aca="false">IF(B285="","",IF(INDEX($E$7:$E$336,ROW()-6+Settings!$B$7)&lt;&gt;"",INDEX($E$7:$E$336,ROW()-6+Settings!$B$7),E285+Settings!$B$7*D285/1440))</f>
        <v/>
      </c>
      <c r="W285" s="22" t="str">
        <f aca="false">IF(B285="","",IF(INDEX($E$7:$E$336,ROW()-6+Settings!$B$7+Settings!$B$8)&lt;&gt;"",INDEX($E$7:$E$336,ROW()-6+Settings!$B$7+Settings!$B$8),E285+(Settings!$B$7+Settings!$B$8)*D285/1440)+U285/1440)</f>
        <v/>
      </c>
      <c r="X285" s="18" t="str">
        <f aca="false">IF(B285="","",IF(INDEX($E$7:$E$336,ROW()-6+Settings!$B$7+Settings!$B$8)&lt;&gt;"","line","estimate"))</f>
        <v/>
      </c>
      <c r="Y285" s="25" t="str">
        <f aca="false">IF(B285="","",INT(W285-Settings!$B$6))</f>
        <v/>
      </c>
      <c r="Z285" s="19"/>
      <c r="AA285" s="18" t="str">
        <f aca="false">IF(B285="","",IF(AND(B285&lt;&gt;"Empty",F285=""),"part missing; ","")&amp;IF(AND(F285&lt;&gt;"",J285=""),"pieces missing; ","")&amp;IF(AND(F285&lt;&gt;"",O285=""),"part not on the Parts sheet; ","")&amp;IF(AND(B285="Empty",OR(F285&lt;&gt;"",K285&lt;&gt;"")),"empty tray with parts; ","")&amp;IF(AND(B285="Loaded",K285&lt;&gt;""),"second part: type Mixed; ","")&amp;IF(AND(Q285&lt;&gt;"",N(Q285)&gt;1),"over 100 % of the spec load; ","")&amp;IF(N(R285)&gt;Settings!$B$10,"over the tray maximum (kg); ","")&amp;IF(AND(K285&lt;&gt;"",IFERROR(INDEX(Parts!$C$6:$C$45,MATCH(K285,Parts!$A$6:$A$45,0)),O285)&lt;&gt;O285),"different processes in one tray; ","")&amp;IF(AND(S285&lt;&gt;"",T285=""),"rework reason missing; ",""))</f>
        <v/>
      </c>
    </row>
    <row r="286" customFormat="false" ht="15" hidden="false" customHeight="false" outlineLevel="0" collapsed="false">
      <c r="A286" s="18" t="str">
        <f aca="false">IF(B286="","",COUNTA(B$7:B286))</f>
        <v/>
      </c>
      <c r="B286" s="19"/>
      <c r="C286" s="20"/>
      <c r="D286" s="19" t="str">
        <f aca="false">IF(B286="","",IF(D285="",Report!$B$12,D285))</f>
        <v/>
      </c>
      <c r="E286" s="22" t="str">
        <f aca="false">IF(B286="","",IF(C286&lt;&gt;"",C286,E285+D285/1440+SUMIFS(Holds!$F$7:$F$46,Holds!$B$7:$B$46,"&gt;="&amp;E285,Holds!$B$7:$B$46,"&lt;"&amp;E285+D285/1440)/1440))</f>
        <v/>
      </c>
      <c r="F286" s="19"/>
      <c r="G286" s="19"/>
      <c r="H286" s="19"/>
      <c r="I286" s="19"/>
      <c r="J286" s="19"/>
      <c r="K286" s="19"/>
      <c r="L286" s="19"/>
      <c r="M286" s="19"/>
      <c r="N286" s="19"/>
      <c r="O286" s="18" t="str">
        <f aca="false">IF(F286="","",IFERROR(INDEX(Parts!$C$6:$C$45,MATCH(F286,Parts!$A$6:$A$45,0)),""))</f>
        <v/>
      </c>
      <c r="P286" s="18" t="str">
        <f aca="false">IF(F286="","",IFERROR(INDEX(Parts!$E$6:$E$45,MATCH(F286,Parts!$A$6:$A$45,0)),""))</f>
        <v/>
      </c>
      <c r="Q286" s="23" t="str">
        <f aca="false">IF(OR(J286="",P286="",P286=0),"",J286/P286+IF(OR(N286="",K286=""),0,IFERROR(N286/INDEX(Parts!$E$6:$E$45,MATCH(K286,Parts!$A$6:$A$45,0)),0)))</f>
        <v/>
      </c>
      <c r="R286" s="24" t="str">
        <f aca="false">IF(B286="","",IF(J286="",0,J286*IFERROR(INDEX(Parts!$F$6:$F$45,MATCH(F286,Parts!$A$6:$A$45,0)),0))+IF(N286="",0,N286*IFERROR(INDEX(Parts!$F$6:$F$45,MATCH(K286,Parts!$A$6:$A$45,0)),0)))</f>
        <v/>
      </c>
      <c r="S286" s="19"/>
      <c r="T286" s="19"/>
      <c r="U286" s="18" t="str">
        <f aca="false">IF(B286="","",IF(F286="",Settings!$B$9,IFERROR(INDEX(Parts!$H$6:$H$45,MATCH(F286,Parts!$A$6:$A$45,0))+0,Settings!$B$9)))</f>
        <v/>
      </c>
      <c r="V286" s="22" t="str">
        <f aca="false">IF(B286="","",IF(INDEX($E$7:$E$336,ROW()-6+Settings!$B$7)&lt;&gt;"",INDEX($E$7:$E$336,ROW()-6+Settings!$B$7),E286+Settings!$B$7*D286/1440))</f>
        <v/>
      </c>
      <c r="W286" s="22" t="str">
        <f aca="false">IF(B286="","",IF(INDEX($E$7:$E$336,ROW()-6+Settings!$B$7+Settings!$B$8)&lt;&gt;"",INDEX($E$7:$E$336,ROW()-6+Settings!$B$7+Settings!$B$8),E286+(Settings!$B$7+Settings!$B$8)*D286/1440)+U286/1440)</f>
        <v/>
      </c>
      <c r="X286" s="18" t="str">
        <f aca="false">IF(B286="","",IF(INDEX($E$7:$E$336,ROW()-6+Settings!$B$7+Settings!$B$8)&lt;&gt;"","line","estimate"))</f>
        <v/>
      </c>
      <c r="Y286" s="25" t="str">
        <f aca="false">IF(B286="","",INT(W286-Settings!$B$6))</f>
        <v/>
      </c>
      <c r="Z286" s="19"/>
      <c r="AA286" s="18" t="str">
        <f aca="false">IF(B286="","",IF(AND(B286&lt;&gt;"Empty",F286=""),"part missing; ","")&amp;IF(AND(F286&lt;&gt;"",J286=""),"pieces missing; ","")&amp;IF(AND(F286&lt;&gt;"",O286=""),"part not on the Parts sheet; ","")&amp;IF(AND(B286="Empty",OR(F286&lt;&gt;"",K286&lt;&gt;"")),"empty tray with parts; ","")&amp;IF(AND(B286="Loaded",K286&lt;&gt;""),"second part: type Mixed; ","")&amp;IF(AND(Q286&lt;&gt;"",N(Q286)&gt;1),"over 100 % of the spec load; ","")&amp;IF(N(R286)&gt;Settings!$B$10,"over the tray maximum (kg); ","")&amp;IF(AND(K286&lt;&gt;"",IFERROR(INDEX(Parts!$C$6:$C$45,MATCH(K286,Parts!$A$6:$A$45,0)),O286)&lt;&gt;O286),"different processes in one tray; ","")&amp;IF(AND(S286&lt;&gt;"",T286=""),"rework reason missing; ",""))</f>
        <v/>
      </c>
    </row>
    <row r="287" customFormat="false" ht="15" hidden="false" customHeight="false" outlineLevel="0" collapsed="false">
      <c r="A287" s="18" t="str">
        <f aca="false">IF(B287="","",COUNTA(B$7:B287))</f>
        <v/>
      </c>
      <c r="B287" s="19"/>
      <c r="C287" s="20"/>
      <c r="D287" s="19" t="str">
        <f aca="false">IF(B287="","",IF(D286="",Report!$B$12,D286))</f>
        <v/>
      </c>
      <c r="E287" s="22" t="str">
        <f aca="false">IF(B287="","",IF(C287&lt;&gt;"",C287,E286+D286/1440+SUMIFS(Holds!$F$7:$F$46,Holds!$B$7:$B$46,"&gt;="&amp;E286,Holds!$B$7:$B$46,"&lt;"&amp;E286+D286/1440)/1440))</f>
        <v/>
      </c>
      <c r="F287" s="19"/>
      <c r="G287" s="19"/>
      <c r="H287" s="19"/>
      <c r="I287" s="19"/>
      <c r="J287" s="19"/>
      <c r="K287" s="19"/>
      <c r="L287" s="19"/>
      <c r="M287" s="19"/>
      <c r="N287" s="19"/>
      <c r="O287" s="18" t="str">
        <f aca="false">IF(F287="","",IFERROR(INDEX(Parts!$C$6:$C$45,MATCH(F287,Parts!$A$6:$A$45,0)),""))</f>
        <v/>
      </c>
      <c r="P287" s="18" t="str">
        <f aca="false">IF(F287="","",IFERROR(INDEX(Parts!$E$6:$E$45,MATCH(F287,Parts!$A$6:$A$45,0)),""))</f>
        <v/>
      </c>
      <c r="Q287" s="23" t="str">
        <f aca="false">IF(OR(J287="",P287="",P287=0),"",J287/P287+IF(OR(N287="",K287=""),0,IFERROR(N287/INDEX(Parts!$E$6:$E$45,MATCH(K287,Parts!$A$6:$A$45,0)),0)))</f>
        <v/>
      </c>
      <c r="R287" s="24" t="str">
        <f aca="false">IF(B287="","",IF(J287="",0,J287*IFERROR(INDEX(Parts!$F$6:$F$45,MATCH(F287,Parts!$A$6:$A$45,0)),0))+IF(N287="",0,N287*IFERROR(INDEX(Parts!$F$6:$F$45,MATCH(K287,Parts!$A$6:$A$45,0)),0)))</f>
        <v/>
      </c>
      <c r="S287" s="19"/>
      <c r="T287" s="19"/>
      <c r="U287" s="18" t="str">
        <f aca="false">IF(B287="","",IF(F287="",Settings!$B$9,IFERROR(INDEX(Parts!$H$6:$H$45,MATCH(F287,Parts!$A$6:$A$45,0))+0,Settings!$B$9)))</f>
        <v/>
      </c>
      <c r="V287" s="22" t="str">
        <f aca="false">IF(B287="","",IF(INDEX($E$7:$E$336,ROW()-6+Settings!$B$7)&lt;&gt;"",INDEX($E$7:$E$336,ROW()-6+Settings!$B$7),E287+Settings!$B$7*D287/1440))</f>
        <v/>
      </c>
      <c r="W287" s="22" t="str">
        <f aca="false">IF(B287="","",IF(INDEX($E$7:$E$336,ROW()-6+Settings!$B$7+Settings!$B$8)&lt;&gt;"",INDEX($E$7:$E$336,ROW()-6+Settings!$B$7+Settings!$B$8),E287+(Settings!$B$7+Settings!$B$8)*D287/1440)+U287/1440)</f>
        <v/>
      </c>
      <c r="X287" s="18" t="str">
        <f aca="false">IF(B287="","",IF(INDEX($E$7:$E$336,ROW()-6+Settings!$B$7+Settings!$B$8)&lt;&gt;"","line","estimate"))</f>
        <v/>
      </c>
      <c r="Y287" s="25" t="str">
        <f aca="false">IF(B287="","",INT(W287-Settings!$B$6))</f>
        <v/>
      </c>
      <c r="Z287" s="19"/>
      <c r="AA287" s="18" t="str">
        <f aca="false">IF(B287="","",IF(AND(B287&lt;&gt;"Empty",F287=""),"part missing; ","")&amp;IF(AND(F287&lt;&gt;"",J287=""),"pieces missing; ","")&amp;IF(AND(F287&lt;&gt;"",O287=""),"part not on the Parts sheet; ","")&amp;IF(AND(B287="Empty",OR(F287&lt;&gt;"",K287&lt;&gt;"")),"empty tray with parts; ","")&amp;IF(AND(B287="Loaded",K287&lt;&gt;""),"second part: type Mixed; ","")&amp;IF(AND(Q287&lt;&gt;"",N(Q287)&gt;1),"over 100 % of the spec load; ","")&amp;IF(N(R287)&gt;Settings!$B$10,"over the tray maximum (kg); ","")&amp;IF(AND(K287&lt;&gt;"",IFERROR(INDEX(Parts!$C$6:$C$45,MATCH(K287,Parts!$A$6:$A$45,0)),O287)&lt;&gt;O287),"different processes in one tray; ","")&amp;IF(AND(S287&lt;&gt;"",T287=""),"rework reason missing; ",""))</f>
        <v/>
      </c>
    </row>
    <row r="288" customFormat="false" ht="15" hidden="false" customHeight="false" outlineLevel="0" collapsed="false">
      <c r="A288" s="18" t="str">
        <f aca="false">IF(B288="","",COUNTA(B$7:B288))</f>
        <v/>
      </c>
      <c r="B288" s="19"/>
      <c r="C288" s="20"/>
      <c r="D288" s="19" t="str">
        <f aca="false">IF(B288="","",IF(D287="",Report!$B$12,D287))</f>
        <v/>
      </c>
      <c r="E288" s="22" t="str">
        <f aca="false">IF(B288="","",IF(C288&lt;&gt;"",C288,E287+D287/1440+SUMIFS(Holds!$F$7:$F$46,Holds!$B$7:$B$46,"&gt;="&amp;E287,Holds!$B$7:$B$46,"&lt;"&amp;E287+D287/1440)/1440))</f>
        <v/>
      </c>
      <c r="F288" s="19"/>
      <c r="G288" s="19"/>
      <c r="H288" s="19"/>
      <c r="I288" s="19"/>
      <c r="J288" s="19"/>
      <c r="K288" s="19"/>
      <c r="L288" s="19"/>
      <c r="M288" s="19"/>
      <c r="N288" s="19"/>
      <c r="O288" s="18" t="str">
        <f aca="false">IF(F288="","",IFERROR(INDEX(Parts!$C$6:$C$45,MATCH(F288,Parts!$A$6:$A$45,0)),""))</f>
        <v/>
      </c>
      <c r="P288" s="18" t="str">
        <f aca="false">IF(F288="","",IFERROR(INDEX(Parts!$E$6:$E$45,MATCH(F288,Parts!$A$6:$A$45,0)),""))</f>
        <v/>
      </c>
      <c r="Q288" s="23" t="str">
        <f aca="false">IF(OR(J288="",P288="",P288=0),"",J288/P288+IF(OR(N288="",K288=""),0,IFERROR(N288/INDEX(Parts!$E$6:$E$45,MATCH(K288,Parts!$A$6:$A$45,0)),0)))</f>
        <v/>
      </c>
      <c r="R288" s="24" t="str">
        <f aca="false">IF(B288="","",IF(J288="",0,J288*IFERROR(INDEX(Parts!$F$6:$F$45,MATCH(F288,Parts!$A$6:$A$45,0)),0))+IF(N288="",0,N288*IFERROR(INDEX(Parts!$F$6:$F$45,MATCH(K288,Parts!$A$6:$A$45,0)),0)))</f>
        <v/>
      </c>
      <c r="S288" s="19"/>
      <c r="T288" s="19"/>
      <c r="U288" s="18" t="str">
        <f aca="false">IF(B288="","",IF(F288="",Settings!$B$9,IFERROR(INDEX(Parts!$H$6:$H$45,MATCH(F288,Parts!$A$6:$A$45,0))+0,Settings!$B$9)))</f>
        <v/>
      </c>
      <c r="V288" s="22" t="str">
        <f aca="false">IF(B288="","",IF(INDEX($E$7:$E$336,ROW()-6+Settings!$B$7)&lt;&gt;"",INDEX($E$7:$E$336,ROW()-6+Settings!$B$7),E288+Settings!$B$7*D288/1440))</f>
        <v/>
      </c>
      <c r="W288" s="22" t="str">
        <f aca="false">IF(B288="","",IF(INDEX($E$7:$E$336,ROW()-6+Settings!$B$7+Settings!$B$8)&lt;&gt;"",INDEX($E$7:$E$336,ROW()-6+Settings!$B$7+Settings!$B$8),E288+(Settings!$B$7+Settings!$B$8)*D288/1440)+U288/1440)</f>
        <v/>
      </c>
      <c r="X288" s="18" t="str">
        <f aca="false">IF(B288="","",IF(INDEX($E$7:$E$336,ROW()-6+Settings!$B$7+Settings!$B$8)&lt;&gt;"","line","estimate"))</f>
        <v/>
      </c>
      <c r="Y288" s="25" t="str">
        <f aca="false">IF(B288="","",INT(W288-Settings!$B$6))</f>
        <v/>
      </c>
      <c r="Z288" s="19"/>
      <c r="AA288" s="18" t="str">
        <f aca="false">IF(B288="","",IF(AND(B288&lt;&gt;"Empty",F288=""),"part missing; ","")&amp;IF(AND(F288&lt;&gt;"",J288=""),"pieces missing; ","")&amp;IF(AND(F288&lt;&gt;"",O288=""),"part not on the Parts sheet; ","")&amp;IF(AND(B288="Empty",OR(F288&lt;&gt;"",K288&lt;&gt;"")),"empty tray with parts; ","")&amp;IF(AND(B288="Loaded",K288&lt;&gt;""),"second part: type Mixed; ","")&amp;IF(AND(Q288&lt;&gt;"",N(Q288)&gt;1),"over 100 % of the spec load; ","")&amp;IF(N(R288)&gt;Settings!$B$10,"over the tray maximum (kg); ","")&amp;IF(AND(K288&lt;&gt;"",IFERROR(INDEX(Parts!$C$6:$C$45,MATCH(K288,Parts!$A$6:$A$45,0)),O288)&lt;&gt;O288),"different processes in one tray; ","")&amp;IF(AND(S288&lt;&gt;"",T288=""),"rework reason missing; ",""))</f>
        <v/>
      </c>
    </row>
    <row r="289" customFormat="false" ht="15" hidden="false" customHeight="false" outlineLevel="0" collapsed="false">
      <c r="A289" s="18" t="str">
        <f aca="false">IF(B289="","",COUNTA(B$7:B289))</f>
        <v/>
      </c>
      <c r="B289" s="19"/>
      <c r="C289" s="20"/>
      <c r="D289" s="19" t="str">
        <f aca="false">IF(B289="","",IF(D288="",Report!$B$12,D288))</f>
        <v/>
      </c>
      <c r="E289" s="22" t="str">
        <f aca="false">IF(B289="","",IF(C289&lt;&gt;"",C289,E288+D288/1440+SUMIFS(Holds!$F$7:$F$46,Holds!$B$7:$B$46,"&gt;="&amp;E288,Holds!$B$7:$B$46,"&lt;"&amp;E288+D288/1440)/1440))</f>
        <v/>
      </c>
      <c r="F289" s="19"/>
      <c r="G289" s="19"/>
      <c r="H289" s="19"/>
      <c r="I289" s="19"/>
      <c r="J289" s="19"/>
      <c r="K289" s="19"/>
      <c r="L289" s="19"/>
      <c r="M289" s="19"/>
      <c r="N289" s="19"/>
      <c r="O289" s="18" t="str">
        <f aca="false">IF(F289="","",IFERROR(INDEX(Parts!$C$6:$C$45,MATCH(F289,Parts!$A$6:$A$45,0)),""))</f>
        <v/>
      </c>
      <c r="P289" s="18" t="str">
        <f aca="false">IF(F289="","",IFERROR(INDEX(Parts!$E$6:$E$45,MATCH(F289,Parts!$A$6:$A$45,0)),""))</f>
        <v/>
      </c>
      <c r="Q289" s="23" t="str">
        <f aca="false">IF(OR(J289="",P289="",P289=0),"",J289/P289+IF(OR(N289="",K289=""),0,IFERROR(N289/INDEX(Parts!$E$6:$E$45,MATCH(K289,Parts!$A$6:$A$45,0)),0)))</f>
        <v/>
      </c>
      <c r="R289" s="24" t="str">
        <f aca="false">IF(B289="","",IF(J289="",0,J289*IFERROR(INDEX(Parts!$F$6:$F$45,MATCH(F289,Parts!$A$6:$A$45,0)),0))+IF(N289="",0,N289*IFERROR(INDEX(Parts!$F$6:$F$45,MATCH(K289,Parts!$A$6:$A$45,0)),0)))</f>
        <v/>
      </c>
      <c r="S289" s="19"/>
      <c r="T289" s="19"/>
      <c r="U289" s="18" t="str">
        <f aca="false">IF(B289="","",IF(F289="",Settings!$B$9,IFERROR(INDEX(Parts!$H$6:$H$45,MATCH(F289,Parts!$A$6:$A$45,0))+0,Settings!$B$9)))</f>
        <v/>
      </c>
      <c r="V289" s="22" t="str">
        <f aca="false">IF(B289="","",IF(INDEX($E$7:$E$336,ROW()-6+Settings!$B$7)&lt;&gt;"",INDEX($E$7:$E$336,ROW()-6+Settings!$B$7),E289+Settings!$B$7*D289/1440))</f>
        <v/>
      </c>
      <c r="W289" s="22" t="str">
        <f aca="false">IF(B289="","",IF(INDEX($E$7:$E$336,ROW()-6+Settings!$B$7+Settings!$B$8)&lt;&gt;"",INDEX($E$7:$E$336,ROW()-6+Settings!$B$7+Settings!$B$8),E289+(Settings!$B$7+Settings!$B$8)*D289/1440)+U289/1440)</f>
        <v/>
      </c>
      <c r="X289" s="18" t="str">
        <f aca="false">IF(B289="","",IF(INDEX($E$7:$E$336,ROW()-6+Settings!$B$7+Settings!$B$8)&lt;&gt;"","line","estimate"))</f>
        <v/>
      </c>
      <c r="Y289" s="25" t="str">
        <f aca="false">IF(B289="","",INT(W289-Settings!$B$6))</f>
        <v/>
      </c>
      <c r="Z289" s="19"/>
      <c r="AA289" s="18" t="str">
        <f aca="false">IF(B289="","",IF(AND(B289&lt;&gt;"Empty",F289=""),"part missing; ","")&amp;IF(AND(F289&lt;&gt;"",J289=""),"pieces missing; ","")&amp;IF(AND(F289&lt;&gt;"",O289=""),"part not on the Parts sheet; ","")&amp;IF(AND(B289="Empty",OR(F289&lt;&gt;"",K289&lt;&gt;"")),"empty tray with parts; ","")&amp;IF(AND(B289="Loaded",K289&lt;&gt;""),"second part: type Mixed; ","")&amp;IF(AND(Q289&lt;&gt;"",N(Q289)&gt;1),"over 100 % of the spec load; ","")&amp;IF(N(R289)&gt;Settings!$B$10,"over the tray maximum (kg); ","")&amp;IF(AND(K289&lt;&gt;"",IFERROR(INDEX(Parts!$C$6:$C$45,MATCH(K289,Parts!$A$6:$A$45,0)),O289)&lt;&gt;O289),"different processes in one tray; ","")&amp;IF(AND(S289&lt;&gt;"",T289=""),"rework reason missing; ",""))</f>
        <v/>
      </c>
    </row>
    <row r="290" customFormat="false" ht="15" hidden="false" customHeight="false" outlineLevel="0" collapsed="false">
      <c r="A290" s="18" t="str">
        <f aca="false">IF(B290="","",COUNTA(B$7:B290))</f>
        <v/>
      </c>
      <c r="B290" s="19"/>
      <c r="C290" s="20"/>
      <c r="D290" s="19" t="str">
        <f aca="false">IF(B290="","",IF(D289="",Report!$B$12,D289))</f>
        <v/>
      </c>
      <c r="E290" s="22" t="str">
        <f aca="false">IF(B290="","",IF(C290&lt;&gt;"",C290,E289+D289/1440+SUMIFS(Holds!$F$7:$F$46,Holds!$B$7:$B$46,"&gt;="&amp;E289,Holds!$B$7:$B$46,"&lt;"&amp;E289+D289/1440)/1440))</f>
        <v/>
      </c>
      <c r="F290" s="19"/>
      <c r="G290" s="19"/>
      <c r="H290" s="19"/>
      <c r="I290" s="19"/>
      <c r="J290" s="19"/>
      <c r="K290" s="19"/>
      <c r="L290" s="19"/>
      <c r="M290" s="19"/>
      <c r="N290" s="19"/>
      <c r="O290" s="18" t="str">
        <f aca="false">IF(F290="","",IFERROR(INDEX(Parts!$C$6:$C$45,MATCH(F290,Parts!$A$6:$A$45,0)),""))</f>
        <v/>
      </c>
      <c r="P290" s="18" t="str">
        <f aca="false">IF(F290="","",IFERROR(INDEX(Parts!$E$6:$E$45,MATCH(F290,Parts!$A$6:$A$45,0)),""))</f>
        <v/>
      </c>
      <c r="Q290" s="23" t="str">
        <f aca="false">IF(OR(J290="",P290="",P290=0),"",J290/P290+IF(OR(N290="",K290=""),0,IFERROR(N290/INDEX(Parts!$E$6:$E$45,MATCH(K290,Parts!$A$6:$A$45,0)),0)))</f>
        <v/>
      </c>
      <c r="R290" s="24" t="str">
        <f aca="false">IF(B290="","",IF(J290="",0,J290*IFERROR(INDEX(Parts!$F$6:$F$45,MATCH(F290,Parts!$A$6:$A$45,0)),0))+IF(N290="",0,N290*IFERROR(INDEX(Parts!$F$6:$F$45,MATCH(K290,Parts!$A$6:$A$45,0)),0)))</f>
        <v/>
      </c>
      <c r="S290" s="19"/>
      <c r="T290" s="19"/>
      <c r="U290" s="18" t="str">
        <f aca="false">IF(B290="","",IF(F290="",Settings!$B$9,IFERROR(INDEX(Parts!$H$6:$H$45,MATCH(F290,Parts!$A$6:$A$45,0))+0,Settings!$B$9)))</f>
        <v/>
      </c>
      <c r="V290" s="22" t="str">
        <f aca="false">IF(B290="","",IF(INDEX($E$7:$E$336,ROW()-6+Settings!$B$7)&lt;&gt;"",INDEX($E$7:$E$336,ROW()-6+Settings!$B$7),E290+Settings!$B$7*D290/1440))</f>
        <v/>
      </c>
      <c r="W290" s="22" t="str">
        <f aca="false">IF(B290="","",IF(INDEX($E$7:$E$336,ROW()-6+Settings!$B$7+Settings!$B$8)&lt;&gt;"",INDEX($E$7:$E$336,ROW()-6+Settings!$B$7+Settings!$B$8),E290+(Settings!$B$7+Settings!$B$8)*D290/1440)+U290/1440)</f>
        <v/>
      </c>
      <c r="X290" s="18" t="str">
        <f aca="false">IF(B290="","",IF(INDEX($E$7:$E$336,ROW()-6+Settings!$B$7+Settings!$B$8)&lt;&gt;"","line","estimate"))</f>
        <v/>
      </c>
      <c r="Y290" s="25" t="str">
        <f aca="false">IF(B290="","",INT(W290-Settings!$B$6))</f>
        <v/>
      </c>
      <c r="Z290" s="19"/>
      <c r="AA290" s="18" t="str">
        <f aca="false">IF(B290="","",IF(AND(B290&lt;&gt;"Empty",F290=""),"part missing; ","")&amp;IF(AND(F290&lt;&gt;"",J290=""),"pieces missing; ","")&amp;IF(AND(F290&lt;&gt;"",O290=""),"part not on the Parts sheet; ","")&amp;IF(AND(B290="Empty",OR(F290&lt;&gt;"",K290&lt;&gt;"")),"empty tray with parts; ","")&amp;IF(AND(B290="Loaded",K290&lt;&gt;""),"second part: type Mixed; ","")&amp;IF(AND(Q290&lt;&gt;"",N(Q290)&gt;1),"over 100 % of the spec load; ","")&amp;IF(N(R290)&gt;Settings!$B$10,"over the tray maximum (kg); ","")&amp;IF(AND(K290&lt;&gt;"",IFERROR(INDEX(Parts!$C$6:$C$45,MATCH(K290,Parts!$A$6:$A$45,0)),O290)&lt;&gt;O290),"different processes in one tray; ","")&amp;IF(AND(S290&lt;&gt;"",T290=""),"rework reason missing; ",""))</f>
        <v/>
      </c>
    </row>
    <row r="291" customFormat="false" ht="15" hidden="false" customHeight="false" outlineLevel="0" collapsed="false">
      <c r="A291" s="18" t="str">
        <f aca="false">IF(B291="","",COUNTA(B$7:B291))</f>
        <v/>
      </c>
      <c r="B291" s="19"/>
      <c r="C291" s="20"/>
      <c r="D291" s="19" t="str">
        <f aca="false">IF(B291="","",IF(D290="",Report!$B$12,D290))</f>
        <v/>
      </c>
      <c r="E291" s="22" t="str">
        <f aca="false">IF(B291="","",IF(C291&lt;&gt;"",C291,E290+D290/1440+SUMIFS(Holds!$F$7:$F$46,Holds!$B$7:$B$46,"&gt;="&amp;E290,Holds!$B$7:$B$46,"&lt;"&amp;E290+D290/1440)/1440))</f>
        <v/>
      </c>
      <c r="F291" s="19"/>
      <c r="G291" s="19"/>
      <c r="H291" s="19"/>
      <c r="I291" s="19"/>
      <c r="J291" s="19"/>
      <c r="K291" s="19"/>
      <c r="L291" s="19"/>
      <c r="M291" s="19"/>
      <c r="N291" s="19"/>
      <c r="O291" s="18" t="str">
        <f aca="false">IF(F291="","",IFERROR(INDEX(Parts!$C$6:$C$45,MATCH(F291,Parts!$A$6:$A$45,0)),""))</f>
        <v/>
      </c>
      <c r="P291" s="18" t="str">
        <f aca="false">IF(F291="","",IFERROR(INDEX(Parts!$E$6:$E$45,MATCH(F291,Parts!$A$6:$A$45,0)),""))</f>
        <v/>
      </c>
      <c r="Q291" s="23" t="str">
        <f aca="false">IF(OR(J291="",P291="",P291=0),"",J291/P291+IF(OR(N291="",K291=""),0,IFERROR(N291/INDEX(Parts!$E$6:$E$45,MATCH(K291,Parts!$A$6:$A$45,0)),0)))</f>
        <v/>
      </c>
      <c r="R291" s="24" t="str">
        <f aca="false">IF(B291="","",IF(J291="",0,J291*IFERROR(INDEX(Parts!$F$6:$F$45,MATCH(F291,Parts!$A$6:$A$45,0)),0))+IF(N291="",0,N291*IFERROR(INDEX(Parts!$F$6:$F$45,MATCH(K291,Parts!$A$6:$A$45,0)),0)))</f>
        <v/>
      </c>
      <c r="S291" s="19"/>
      <c r="T291" s="19"/>
      <c r="U291" s="18" t="str">
        <f aca="false">IF(B291="","",IF(F291="",Settings!$B$9,IFERROR(INDEX(Parts!$H$6:$H$45,MATCH(F291,Parts!$A$6:$A$45,0))+0,Settings!$B$9)))</f>
        <v/>
      </c>
      <c r="V291" s="22" t="str">
        <f aca="false">IF(B291="","",IF(INDEX($E$7:$E$336,ROW()-6+Settings!$B$7)&lt;&gt;"",INDEX($E$7:$E$336,ROW()-6+Settings!$B$7),E291+Settings!$B$7*D291/1440))</f>
        <v/>
      </c>
      <c r="W291" s="22" t="str">
        <f aca="false">IF(B291="","",IF(INDEX($E$7:$E$336,ROW()-6+Settings!$B$7+Settings!$B$8)&lt;&gt;"",INDEX($E$7:$E$336,ROW()-6+Settings!$B$7+Settings!$B$8),E291+(Settings!$B$7+Settings!$B$8)*D291/1440)+U291/1440)</f>
        <v/>
      </c>
      <c r="X291" s="18" t="str">
        <f aca="false">IF(B291="","",IF(INDEX($E$7:$E$336,ROW()-6+Settings!$B$7+Settings!$B$8)&lt;&gt;"","line","estimate"))</f>
        <v/>
      </c>
      <c r="Y291" s="25" t="str">
        <f aca="false">IF(B291="","",INT(W291-Settings!$B$6))</f>
        <v/>
      </c>
      <c r="Z291" s="19"/>
      <c r="AA291" s="18" t="str">
        <f aca="false">IF(B291="","",IF(AND(B291&lt;&gt;"Empty",F291=""),"part missing; ","")&amp;IF(AND(F291&lt;&gt;"",J291=""),"pieces missing; ","")&amp;IF(AND(F291&lt;&gt;"",O291=""),"part not on the Parts sheet; ","")&amp;IF(AND(B291="Empty",OR(F291&lt;&gt;"",K291&lt;&gt;"")),"empty tray with parts; ","")&amp;IF(AND(B291="Loaded",K291&lt;&gt;""),"second part: type Mixed; ","")&amp;IF(AND(Q291&lt;&gt;"",N(Q291)&gt;1),"over 100 % of the spec load; ","")&amp;IF(N(R291)&gt;Settings!$B$10,"over the tray maximum (kg); ","")&amp;IF(AND(K291&lt;&gt;"",IFERROR(INDEX(Parts!$C$6:$C$45,MATCH(K291,Parts!$A$6:$A$45,0)),O291)&lt;&gt;O291),"different processes in one tray; ","")&amp;IF(AND(S291&lt;&gt;"",T291=""),"rework reason missing; ",""))</f>
        <v/>
      </c>
    </row>
    <row r="292" customFormat="false" ht="15" hidden="false" customHeight="false" outlineLevel="0" collapsed="false">
      <c r="A292" s="18" t="str">
        <f aca="false">IF(B292="","",COUNTA(B$7:B292))</f>
        <v/>
      </c>
      <c r="B292" s="19"/>
      <c r="C292" s="20"/>
      <c r="D292" s="19" t="str">
        <f aca="false">IF(B292="","",IF(D291="",Report!$B$12,D291))</f>
        <v/>
      </c>
      <c r="E292" s="22" t="str">
        <f aca="false">IF(B292="","",IF(C292&lt;&gt;"",C292,E291+D291/1440+SUMIFS(Holds!$F$7:$F$46,Holds!$B$7:$B$46,"&gt;="&amp;E291,Holds!$B$7:$B$46,"&lt;"&amp;E291+D291/1440)/1440))</f>
        <v/>
      </c>
      <c r="F292" s="19"/>
      <c r="G292" s="19"/>
      <c r="H292" s="19"/>
      <c r="I292" s="19"/>
      <c r="J292" s="19"/>
      <c r="K292" s="19"/>
      <c r="L292" s="19"/>
      <c r="M292" s="19"/>
      <c r="N292" s="19"/>
      <c r="O292" s="18" t="str">
        <f aca="false">IF(F292="","",IFERROR(INDEX(Parts!$C$6:$C$45,MATCH(F292,Parts!$A$6:$A$45,0)),""))</f>
        <v/>
      </c>
      <c r="P292" s="18" t="str">
        <f aca="false">IF(F292="","",IFERROR(INDEX(Parts!$E$6:$E$45,MATCH(F292,Parts!$A$6:$A$45,0)),""))</f>
        <v/>
      </c>
      <c r="Q292" s="23" t="str">
        <f aca="false">IF(OR(J292="",P292="",P292=0),"",J292/P292+IF(OR(N292="",K292=""),0,IFERROR(N292/INDEX(Parts!$E$6:$E$45,MATCH(K292,Parts!$A$6:$A$45,0)),0)))</f>
        <v/>
      </c>
      <c r="R292" s="24" t="str">
        <f aca="false">IF(B292="","",IF(J292="",0,J292*IFERROR(INDEX(Parts!$F$6:$F$45,MATCH(F292,Parts!$A$6:$A$45,0)),0))+IF(N292="",0,N292*IFERROR(INDEX(Parts!$F$6:$F$45,MATCH(K292,Parts!$A$6:$A$45,0)),0)))</f>
        <v/>
      </c>
      <c r="S292" s="19"/>
      <c r="T292" s="19"/>
      <c r="U292" s="18" t="str">
        <f aca="false">IF(B292="","",IF(F292="",Settings!$B$9,IFERROR(INDEX(Parts!$H$6:$H$45,MATCH(F292,Parts!$A$6:$A$45,0))+0,Settings!$B$9)))</f>
        <v/>
      </c>
      <c r="V292" s="22" t="str">
        <f aca="false">IF(B292="","",IF(INDEX($E$7:$E$336,ROW()-6+Settings!$B$7)&lt;&gt;"",INDEX($E$7:$E$336,ROW()-6+Settings!$B$7),E292+Settings!$B$7*D292/1440))</f>
        <v/>
      </c>
      <c r="W292" s="22" t="str">
        <f aca="false">IF(B292="","",IF(INDEX($E$7:$E$336,ROW()-6+Settings!$B$7+Settings!$B$8)&lt;&gt;"",INDEX($E$7:$E$336,ROW()-6+Settings!$B$7+Settings!$B$8),E292+(Settings!$B$7+Settings!$B$8)*D292/1440)+U292/1440)</f>
        <v/>
      </c>
      <c r="X292" s="18" t="str">
        <f aca="false">IF(B292="","",IF(INDEX($E$7:$E$336,ROW()-6+Settings!$B$7+Settings!$B$8)&lt;&gt;"","line","estimate"))</f>
        <v/>
      </c>
      <c r="Y292" s="25" t="str">
        <f aca="false">IF(B292="","",INT(W292-Settings!$B$6))</f>
        <v/>
      </c>
      <c r="Z292" s="19"/>
      <c r="AA292" s="18" t="str">
        <f aca="false">IF(B292="","",IF(AND(B292&lt;&gt;"Empty",F292=""),"part missing; ","")&amp;IF(AND(F292&lt;&gt;"",J292=""),"pieces missing; ","")&amp;IF(AND(F292&lt;&gt;"",O292=""),"part not on the Parts sheet; ","")&amp;IF(AND(B292="Empty",OR(F292&lt;&gt;"",K292&lt;&gt;"")),"empty tray with parts; ","")&amp;IF(AND(B292="Loaded",K292&lt;&gt;""),"second part: type Mixed; ","")&amp;IF(AND(Q292&lt;&gt;"",N(Q292)&gt;1),"over 100 % of the spec load; ","")&amp;IF(N(R292)&gt;Settings!$B$10,"over the tray maximum (kg); ","")&amp;IF(AND(K292&lt;&gt;"",IFERROR(INDEX(Parts!$C$6:$C$45,MATCH(K292,Parts!$A$6:$A$45,0)),O292)&lt;&gt;O292),"different processes in one tray; ","")&amp;IF(AND(S292&lt;&gt;"",T292=""),"rework reason missing; ",""))</f>
        <v/>
      </c>
    </row>
    <row r="293" customFormat="false" ht="15" hidden="false" customHeight="false" outlineLevel="0" collapsed="false">
      <c r="A293" s="18" t="str">
        <f aca="false">IF(B293="","",COUNTA(B$7:B293))</f>
        <v/>
      </c>
      <c r="B293" s="19"/>
      <c r="C293" s="20"/>
      <c r="D293" s="19" t="str">
        <f aca="false">IF(B293="","",IF(D292="",Report!$B$12,D292))</f>
        <v/>
      </c>
      <c r="E293" s="22" t="str">
        <f aca="false">IF(B293="","",IF(C293&lt;&gt;"",C293,E292+D292/1440+SUMIFS(Holds!$F$7:$F$46,Holds!$B$7:$B$46,"&gt;="&amp;E292,Holds!$B$7:$B$46,"&lt;"&amp;E292+D292/1440)/1440))</f>
        <v/>
      </c>
      <c r="F293" s="19"/>
      <c r="G293" s="19"/>
      <c r="H293" s="19"/>
      <c r="I293" s="19"/>
      <c r="J293" s="19"/>
      <c r="K293" s="19"/>
      <c r="L293" s="19"/>
      <c r="M293" s="19"/>
      <c r="N293" s="19"/>
      <c r="O293" s="18" t="str">
        <f aca="false">IF(F293="","",IFERROR(INDEX(Parts!$C$6:$C$45,MATCH(F293,Parts!$A$6:$A$45,0)),""))</f>
        <v/>
      </c>
      <c r="P293" s="18" t="str">
        <f aca="false">IF(F293="","",IFERROR(INDEX(Parts!$E$6:$E$45,MATCH(F293,Parts!$A$6:$A$45,0)),""))</f>
        <v/>
      </c>
      <c r="Q293" s="23" t="str">
        <f aca="false">IF(OR(J293="",P293="",P293=0),"",J293/P293+IF(OR(N293="",K293=""),0,IFERROR(N293/INDEX(Parts!$E$6:$E$45,MATCH(K293,Parts!$A$6:$A$45,0)),0)))</f>
        <v/>
      </c>
      <c r="R293" s="24" t="str">
        <f aca="false">IF(B293="","",IF(J293="",0,J293*IFERROR(INDEX(Parts!$F$6:$F$45,MATCH(F293,Parts!$A$6:$A$45,0)),0))+IF(N293="",0,N293*IFERROR(INDEX(Parts!$F$6:$F$45,MATCH(K293,Parts!$A$6:$A$45,0)),0)))</f>
        <v/>
      </c>
      <c r="S293" s="19"/>
      <c r="T293" s="19"/>
      <c r="U293" s="18" t="str">
        <f aca="false">IF(B293="","",IF(F293="",Settings!$B$9,IFERROR(INDEX(Parts!$H$6:$H$45,MATCH(F293,Parts!$A$6:$A$45,0))+0,Settings!$B$9)))</f>
        <v/>
      </c>
      <c r="V293" s="22" t="str">
        <f aca="false">IF(B293="","",IF(INDEX($E$7:$E$336,ROW()-6+Settings!$B$7)&lt;&gt;"",INDEX($E$7:$E$336,ROW()-6+Settings!$B$7),E293+Settings!$B$7*D293/1440))</f>
        <v/>
      </c>
      <c r="W293" s="22" t="str">
        <f aca="false">IF(B293="","",IF(INDEX($E$7:$E$336,ROW()-6+Settings!$B$7+Settings!$B$8)&lt;&gt;"",INDEX($E$7:$E$336,ROW()-6+Settings!$B$7+Settings!$B$8),E293+(Settings!$B$7+Settings!$B$8)*D293/1440)+U293/1440)</f>
        <v/>
      </c>
      <c r="X293" s="18" t="str">
        <f aca="false">IF(B293="","",IF(INDEX($E$7:$E$336,ROW()-6+Settings!$B$7+Settings!$B$8)&lt;&gt;"","line","estimate"))</f>
        <v/>
      </c>
      <c r="Y293" s="25" t="str">
        <f aca="false">IF(B293="","",INT(W293-Settings!$B$6))</f>
        <v/>
      </c>
      <c r="Z293" s="19"/>
      <c r="AA293" s="18" t="str">
        <f aca="false">IF(B293="","",IF(AND(B293&lt;&gt;"Empty",F293=""),"part missing; ","")&amp;IF(AND(F293&lt;&gt;"",J293=""),"pieces missing; ","")&amp;IF(AND(F293&lt;&gt;"",O293=""),"part not on the Parts sheet; ","")&amp;IF(AND(B293="Empty",OR(F293&lt;&gt;"",K293&lt;&gt;"")),"empty tray with parts; ","")&amp;IF(AND(B293="Loaded",K293&lt;&gt;""),"second part: type Mixed; ","")&amp;IF(AND(Q293&lt;&gt;"",N(Q293)&gt;1),"over 100 % of the spec load; ","")&amp;IF(N(R293)&gt;Settings!$B$10,"over the tray maximum (kg); ","")&amp;IF(AND(K293&lt;&gt;"",IFERROR(INDEX(Parts!$C$6:$C$45,MATCH(K293,Parts!$A$6:$A$45,0)),O293)&lt;&gt;O293),"different processes in one tray; ","")&amp;IF(AND(S293&lt;&gt;"",T293=""),"rework reason missing; ",""))</f>
        <v/>
      </c>
    </row>
    <row r="294" customFormat="false" ht="15" hidden="false" customHeight="false" outlineLevel="0" collapsed="false">
      <c r="A294" s="18" t="str">
        <f aca="false">IF(B294="","",COUNTA(B$7:B294))</f>
        <v/>
      </c>
      <c r="B294" s="19"/>
      <c r="C294" s="20"/>
      <c r="D294" s="19" t="str">
        <f aca="false">IF(B294="","",IF(D293="",Report!$B$12,D293))</f>
        <v/>
      </c>
      <c r="E294" s="22" t="str">
        <f aca="false">IF(B294="","",IF(C294&lt;&gt;"",C294,E293+D293/1440+SUMIFS(Holds!$F$7:$F$46,Holds!$B$7:$B$46,"&gt;="&amp;E293,Holds!$B$7:$B$46,"&lt;"&amp;E293+D293/1440)/1440))</f>
        <v/>
      </c>
      <c r="F294" s="19"/>
      <c r="G294" s="19"/>
      <c r="H294" s="19"/>
      <c r="I294" s="19"/>
      <c r="J294" s="19"/>
      <c r="K294" s="19"/>
      <c r="L294" s="19"/>
      <c r="M294" s="19"/>
      <c r="N294" s="19"/>
      <c r="O294" s="18" t="str">
        <f aca="false">IF(F294="","",IFERROR(INDEX(Parts!$C$6:$C$45,MATCH(F294,Parts!$A$6:$A$45,0)),""))</f>
        <v/>
      </c>
      <c r="P294" s="18" t="str">
        <f aca="false">IF(F294="","",IFERROR(INDEX(Parts!$E$6:$E$45,MATCH(F294,Parts!$A$6:$A$45,0)),""))</f>
        <v/>
      </c>
      <c r="Q294" s="23" t="str">
        <f aca="false">IF(OR(J294="",P294="",P294=0),"",J294/P294+IF(OR(N294="",K294=""),0,IFERROR(N294/INDEX(Parts!$E$6:$E$45,MATCH(K294,Parts!$A$6:$A$45,0)),0)))</f>
        <v/>
      </c>
      <c r="R294" s="24" t="str">
        <f aca="false">IF(B294="","",IF(J294="",0,J294*IFERROR(INDEX(Parts!$F$6:$F$45,MATCH(F294,Parts!$A$6:$A$45,0)),0))+IF(N294="",0,N294*IFERROR(INDEX(Parts!$F$6:$F$45,MATCH(K294,Parts!$A$6:$A$45,0)),0)))</f>
        <v/>
      </c>
      <c r="S294" s="19"/>
      <c r="T294" s="19"/>
      <c r="U294" s="18" t="str">
        <f aca="false">IF(B294="","",IF(F294="",Settings!$B$9,IFERROR(INDEX(Parts!$H$6:$H$45,MATCH(F294,Parts!$A$6:$A$45,0))+0,Settings!$B$9)))</f>
        <v/>
      </c>
      <c r="V294" s="22" t="str">
        <f aca="false">IF(B294="","",IF(INDEX($E$7:$E$336,ROW()-6+Settings!$B$7)&lt;&gt;"",INDEX($E$7:$E$336,ROW()-6+Settings!$B$7),E294+Settings!$B$7*D294/1440))</f>
        <v/>
      </c>
      <c r="W294" s="22" t="str">
        <f aca="false">IF(B294="","",IF(INDEX($E$7:$E$336,ROW()-6+Settings!$B$7+Settings!$B$8)&lt;&gt;"",INDEX($E$7:$E$336,ROW()-6+Settings!$B$7+Settings!$B$8),E294+(Settings!$B$7+Settings!$B$8)*D294/1440)+U294/1440)</f>
        <v/>
      </c>
      <c r="X294" s="18" t="str">
        <f aca="false">IF(B294="","",IF(INDEX($E$7:$E$336,ROW()-6+Settings!$B$7+Settings!$B$8)&lt;&gt;"","line","estimate"))</f>
        <v/>
      </c>
      <c r="Y294" s="25" t="str">
        <f aca="false">IF(B294="","",INT(W294-Settings!$B$6))</f>
        <v/>
      </c>
      <c r="Z294" s="19"/>
      <c r="AA294" s="18" t="str">
        <f aca="false">IF(B294="","",IF(AND(B294&lt;&gt;"Empty",F294=""),"part missing; ","")&amp;IF(AND(F294&lt;&gt;"",J294=""),"pieces missing; ","")&amp;IF(AND(F294&lt;&gt;"",O294=""),"part not on the Parts sheet; ","")&amp;IF(AND(B294="Empty",OR(F294&lt;&gt;"",K294&lt;&gt;"")),"empty tray with parts; ","")&amp;IF(AND(B294="Loaded",K294&lt;&gt;""),"second part: type Mixed; ","")&amp;IF(AND(Q294&lt;&gt;"",N(Q294)&gt;1),"over 100 % of the spec load; ","")&amp;IF(N(R294)&gt;Settings!$B$10,"over the tray maximum (kg); ","")&amp;IF(AND(K294&lt;&gt;"",IFERROR(INDEX(Parts!$C$6:$C$45,MATCH(K294,Parts!$A$6:$A$45,0)),O294)&lt;&gt;O294),"different processes in one tray; ","")&amp;IF(AND(S294&lt;&gt;"",T294=""),"rework reason missing; ",""))</f>
        <v/>
      </c>
    </row>
    <row r="295" customFormat="false" ht="15" hidden="false" customHeight="false" outlineLevel="0" collapsed="false">
      <c r="A295" s="18" t="str">
        <f aca="false">IF(B295="","",COUNTA(B$7:B295))</f>
        <v/>
      </c>
      <c r="B295" s="19"/>
      <c r="C295" s="20"/>
      <c r="D295" s="19" t="str">
        <f aca="false">IF(B295="","",IF(D294="",Report!$B$12,D294))</f>
        <v/>
      </c>
      <c r="E295" s="22" t="str">
        <f aca="false">IF(B295="","",IF(C295&lt;&gt;"",C295,E294+D294/1440+SUMIFS(Holds!$F$7:$F$46,Holds!$B$7:$B$46,"&gt;="&amp;E294,Holds!$B$7:$B$46,"&lt;"&amp;E294+D294/1440)/1440))</f>
        <v/>
      </c>
      <c r="F295" s="19"/>
      <c r="G295" s="19"/>
      <c r="H295" s="19"/>
      <c r="I295" s="19"/>
      <c r="J295" s="19"/>
      <c r="K295" s="19"/>
      <c r="L295" s="19"/>
      <c r="M295" s="19"/>
      <c r="N295" s="19"/>
      <c r="O295" s="18" t="str">
        <f aca="false">IF(F295="","",IFERROR(INDEX(Parts!$C$6:$C$45,MATCH(F295,Parts!$A$6:$A$45,0)),""))</f>
        <v/>
      </c>
      <c r="P295" s="18" t="str">
        <f aca="false">IF(F295="","",IFERROR(INDEX(Parts!$E$6:$E$45,MATCH(F295,Parts!$A$6:$A$45,0)),""))</f>
        <v/>
      </c>
      <c r="Q295" s="23" t="str">
        <f aca="false">IF(OR(J295="",P295="",P295=0),"",J295/P295+IF(OR(N295="",K295=""),0,IFERROR(N295/INDEX(Parts!$E$6:$E$45,MATCH(K295,Parts!$A$6:$A$45,0)),0)))</f>
        <v/>
      </c>
      <c r="R295" s="24" t="str">
        <f aca="false">IF(B295="","",IF(J295="",0,J295*IFERROR(INDEX(Parts!$F$6:$F$45,MATCH(F295,Parts!$A$6:$A$45,0)),0))+IF(N295="",0,N295*IFERROR(INDEX(Parts!$F$6:$F$45,MATCH(K295,Parts!$A$6:$A$45,0)),0)))</f>
        <v/>
      </c>
      <c r="S295" s="19"/>
      <c r="T295" s="19"/>
      <c r="U295" s="18" t="str">
        <f aca="false">IF(B295="","",IF(F295="",Settings!$B$9,IFERROR(INDEX(Parts!$H$6:$H$45,MATCH(F295,Parts!$A$6:$A$45,0))+0,Settings!$B$9)))</f>
        <v/>
      </c>
      <c r="V295" s="22" t="str">
        <f aca="false">IF(B295="","",IF(INDEX($E$7:$E$336,ROW()-6+Settings!$B$7)&lt;&gt;"",INDEX($E$7:$E$336,ROW()-6+Settings!$B$7),E295+Settings!$B$7*D295/1440))</f>
        <v/>
      </c>
      <c r="W295" s="22" t="str">
        <f aca="false">IF(B295="","",IF(INDEX($E$7:$E$336,ROW()-6+Settings!$B$7+Settings!$B$8)&lt;&gt;"",INDEX($E$7:$E$336,ROW()-6+Settings!$B$7+Settings!$B$8),E295+(Settings!$B$7+Settings!$B$8)*D295/1440)+U295/1440)</f>
        <v/>
      </c>
      <c r="X295" s="18" t="str">
        <f aca="false">IF(B295="","",IF(INDEX($E$7:$E$336,ROW()-6+Settings!$B$7+Settings!$B$8)&lt;&gt;"","line","estimate"))</f>
        <v/>
      </c>
      <c r="Y295" s="25" t="str">
        <f aca="false">IF(B295="","",INT(W295-Settings!$B$6))</f>
        <v/>
      </c>
      <c r="Z295" s="19"/>
      <c r="AA295" s="18" t="str">
        <f aca="false">IF(B295="","",IF(AND(B295&lt;&gt;"Empty",F295=""),"part missing; ","")&amp;IF(AND(F295&lt;&gt;"",J295=""),"pieces missing; ","")&amp;IF(AND(F295&lt;&gt;"",O295=""),"part not on the Parts sheet; ","")&amp;IF(AND(B295="Empty",OR(F295&lt;&gt;"",K295&lt;&gt;"")),"empty tray with parts; ","")&amp;IF(AND(B295="Loaded",K295&lt;&gt;""),"second part: type Mixed; ","")&amp;IF(AND(Q295&lt;&gt;"",N(Q295)&gt;1),"over 100 % of the spec load; ","")&amp;IF(N(R295)&gt;Settings!$B$10,"over the tray maximum (kg); ","")&amp;IF(AND(K295&lt;&gt;"",IFERROR(INDEX(Parts!$C$6:$C$45,MATCH(K295,Parts!$A$6:$A$45,0)),O295)&lt;&gt;O295),"different processes in one tray; ","")&amp;IF(AND(S295&lt;&gt;"",T295=""),"rework reason missing; ",""))</f>
        <v/>
      </c>
    </row>
    <row r="296" customFormat="false" ht="15" hidden="false" customHeight="false" outlineLevel="0" collapsed="false">
      <c r="A296" s="18" t="str">
        <f aca="false">IF(B296="","",COUNTA(B$7:B296))</f>
        <v/>
      </c>
      <c r="B296" s="19"/>
      <c r="C296" s="20"/>
      <c r="D296" s="19" t="str">
        <f aca="false">IF(B296="","",IF(D295="",Report!$B$12,D295))</f>
        <v/>
      </c>
      <c r="E296" s="22" t="str">
        <f aca="false">IF(B296="","",IF(C296&lt;&gt;"",C296,E295+D295/1440+SUMIFS(Holds!$F$7:$F$46,Holds!$B$7:$B$46,"&gt;="&amp;E295,Holds!$B$7:$B$46,"&lt;"&amp;E295+D295/1440)/1440))</f>
        <v/>
      </c>
      <c r="F296" s="19"/>
      <c r="G296" s="19"/>
      <c r="H296" s="19"/>
      <c r="I296" s="19"/>
      <c r="J296" s="19"/>
      <c r="K296" s="19"/>
      <c r="L296" s="19"/>
      <c r="M296" s="19"/>
      <c r="N296" s="19"/>
      <c r="O296" s="18" t="str">
        <f aca="false">IF(F296="","",IFERROR(INDEX(Parts!$C$6:$C$45,MATCH(F296,Parts!$A$6:$A$45,0)),""))</f>
        <v/>
      </c>
      <c r="P296" s="18" t="str">
        <f aca="false">IF(F296="","",IFERROR(INDEX(Parts!$E$6:$E$45,MATCH(F296,Parts!$A$6:$A$45,0)),""))</f>
        <v/>
      </c>
      <c r="Q296" s="23" t="str">
        <f aca="false">IF(OR(J296="",P296="",P296=0),"",J296/P296+IF(OR(N296="",K296=""),0,IFERROR(N296/INDEX(Parts!$E$6:$E$45,MATCH(K296,Parts!$A$6:$A$45,0)),0)))</f>
        <v/>
      </c>
      <c r="R296" s="24" t="str">
        <f aca="false">IF(B296="","",IF(J296="",0,J296*IFERROR(INDEX(Parts!$F$6:$F$45,MATCH(F296,Parts!$A$6:$A$45,0)),0))+IF(N296="",0,N296*IFERROR(INDEX(Parts!$F$6:$F$45,MATCH(K296,Parts!$A$6:$A$45,0)),0)))</f>
        <v/>
      </c>
      <c r="S296" s="19"/>
      <c r="T296" s="19"/>
      <c r="U296" s="18" t="str">
        <f aca="false">IF(B296="","",IF(F296="",Settings!$B$9,IFERROR(INDEX(Parts!$H$6:$H$45,MATCH(F296,Parts!$A$6:$A$45,0))+0,Settings!$B$9)))</f>
        <v/>
      </c>
      <c r="V296" s="22" t="str">
        <f aca="false">IF(B296="","",IF(INDEX($E$7:$E$336,ROW()-6+Settings!$B$7)&lt;&gt;"",INDEX($E$7:$E$336,ROW()-6+Settings!$B$7),E296+Settings!$B$7*D296/1440))</f>
        <v/>
      </c>
      <c r="W296" s="22" t="str">
        <f aca="false">IF(B296="","",IF(INDEX($E$7:$E$336,ROW()-6+Settings!$B$7+Settings!$B$8)&lt;&gt;"",INDEX($E$7:$E$336,ROW()-6+Settings!$B$7+Settings!$B$8),E296+(Settings!$B$7+Settings!$B$8)*D296/1440)+U296/1440)</f>
        <v/>
      </c>
      <c r="X296" s="18" t="str">
        <f aca="false">IF(B296="","",IF(INDEX($E$7:$E$336,ROW()-6+Settings!$B$7+Settings!$B$8)&lt;&gt;"","line","estimate"))</f>
        <v/>
      </c>
      <c r="Y296" s="25" t="str">
        <f aca="false">IF(B296="","",INT(W296-Settings!$B$6))</f>
        <v/>
      </c>
      <c r="Z296" s="19"/>
      <c r="AA296" s="18" t="str">
        <f aca="false">IF(B296="","",IF(AND(B296&lt;&gt;"Empty",F296=""),"part missing; ","")&amp;IF(AND(F296&lt;&gt;"",J296=""),"pieces missing; ","")&amp;IF(AND(F296&lt;&gt;"",O296=""),"part not on the Parts sheet; ","")&amp;IF(AND(B296="Empty",OR(F296&lt;&gt;"",K296&lt;&gt;"")),"empty tray with parts; ","")&amp;IF(AND(B296="Loaded",K296&lt;&gt;""),"second part: type Mixed; ","")&amp;IF(AND(Q296&lt;&gt;"",N(Q296)&gt;1),"over 100 % of the spec load; ","")&amp;IF(N(R296)&gt;Settings!$B$10,"over the tray maximum (kg); ","")&amp;IF(AND(K296&lt;&gt;"",IFERROR(INDEX(Parts!$C$6:$C$45,MATCH(K296,Parts!$A$6:$A$45,0)),O296)&lt;&gt;O296),"different processes in one tray; ","")&amp;IF(AND(S296&lt;&gt;"",T296=""),"rework reason missing; ",""))</f>
        <v/>
      </c>
    </row>
    <row r="297" customFormat="false" ht="15" hidden="false" customHeight="false" outlineLevel="0" collapsed="false">
      <c r="A297" s="18" t="str">
        <f aca="false">IF(B297="","",COUNTA(B$7:B297))</f>
        <v/>
      </c>
      <c r="B297" s="19"/>
      <c r="C297" s="20"/>
      <c r="D297" s="19" t="str">
        <f aca="false">IF(B297="","",IF(D296="",Report!$B$12,D296))</f>
        <v/>
      </c>
      <c r="E297" s="22" t="str">
        <f aca="false">IF(B297="","",IF(C297&lt;&gt;"",C297,E296+D296/1440+SUMIFS(Holds!$F$7:$F$46,Holds!$B$7:$B$46,"&gt;="&amp;E296,Holds!$B$7:$B$46,"&lt;"&amp;E296+D296/1440)/1440))</f>
        <v/>
      </c>
      <c r="F297" s="19"/>
      <c r="G297" s="19"/>
      <c r="H297" s="19"/>
      <c r="I297" s="19"/>
      <c r="J297" s="19"/>
      <c r="K297" s="19"/>
      <c r="L297" s="19"/>
      <c r="M297" s="19"/>
      <c r="N297" s="19"/>
      <c r="O297" s="18" t="str">
        <f aca="false">IF(F297="","",IFERROR(INDEX(Parts!$C$6:$C$45,MATCH(F297,Parts!$A$6:$A$45,0)),""))</f>
        <v/>
      </c>
      <c r="P297" s="18" t="str">
        <f aca="false">IF(F297="","",IFERROR(INDEX(Parts!$E$6:$E$45,MATCH(F297,Parts!$A$6:$A$45,0)),""))</f>
        <v/>
      </c>
      <c r="Q297" s="23" t="str">
        <f aca="false">IF(OR(J297="",P297="",P297=0),"",J297/P297+IF(OR(N297="",K297=""),0,IFERROR(N297/INDEX(Parts!$E$6:$E$45,MATCH(K297,Parts!$A$6:$A$45,0)),0)))</f>
        <v/>
      </c>
      <c r="R297" s="24" t="str">
        <f aca="false">IF(B297="","",IF(J297="",0,J297*IFERROR(INDEX(Parts!$F$6:$F$45,MATCH(F297,Parts!$A$6:$A$45,0)),0))+IF(N297="",0,N297*IFERROR(INDEX(Parts!$F$6:$F$45,MATCH(K297,Parts!$A$6:$A$45,0)),0)))</f>
        <v/>
      </c>
      <c r="S297" s="19"/>
      <c r="T297" s="19"/>
      <c r="U297" s="18" t="str">
        <f aca="false">IF(B297="","",IF(F297="",Settings!$B$9,IFERROR(INDEX(Parts!$H$6:$H$45,MATCH(F297,Parts!$A$6:$A$45,0))+0,Settings!$B$9)))</f>
        <v/>
      </c>
      <c r="V297" s="22" t="str">
        <f aca="false">IF(B297="","",IF(INDEX($E$7:$E$336,ROW()-6+Settings!$B$7)&lt;&gt;"",INDEX($E$7:$E$336,ROW()-6+Settings!$B$7),E297+Settings!$B$7*D297/1440))</f>
        <v/>
      </c>
      <c r="W297" s="22" t="str">
        <f aca="false">IF(B297="","",IF(INDEX($E$7:$E$336,ROW()-6+Settings!$B$7+Settings!$B$8)&lt;&gt;"",INDEX($E$7:$E$336,ROW()-6+Settings!$B$7+Settings!$B$8),E297+(Settings!$B$7+Settings!$B$8)*D297/1440)+U297/1440)</f>
        <v/>
      </c>
      <c r="X297" s="18" t="str">
        <f aca="false">IF(B297="","",IF(INDEX($E$7:$E$336,ROW()-6+Settings!$B$7+Settings!$B$8)&lt;&gt;"","line","estimate"))</f>
        <v/>
      </c>
      <c r="Y297" s="25" t="str">
        <f aca="false">IF(B297="","",INT(W297-Settings!$B$6))</f>
        <v/>
      </c>
      <c r="Z297" s="19"/>
      <c r="AA297" s="18" t="str">
        <f aca="false">IF(B297="","",IF(AND(B297&lt;&gt;"Empty",F297=""),"part missing; ","")&amp;IF(AND(F297&lt;&gt;"",J297=""),"pieces missing; ","")&amp;IF(AND(F297&lt;&gt;"",O297=""),"part not on the Parts sheet; ","")&amp;IF(AND(B297="Empty",OR(F297&lt;&gt;"",K297&lt;&gt;"")),"empty tray with parts; ","")&amp;IF(AND(B297="Loaded",K297&lt;&gt;""),"second part: type Mixed; ","")&amp;IF(AND(Q297&lt;&gt;"",N(Q297)&gt;1),"over 100 % of the spec load; ","")&amp;IF(N(R297)&gt;Settings!$B$10,"over the tray maximum (kg); ","")&amp;IF(AND(K297&lt;&gt;"",IFERROR(INDEX(Parts!$C$6:$C$45,MATCH(K297,Parts!$A$6:$A$45,0)),O297)&lt;&gt;O297),"different processes in one tray; ","")&amp;IF(AND(S297&lt;&gt;"",T297=""),"rework reason missing; ",""))</f>
        <v/>
      </c>
    </row>
    <row r="298" customFormat="false" ht="15" hidden="false" customHeight="false" outlineLevel="0" collapsed="false">
      <c r="A298" s="18" t="str">
        <f aca="false">IF(B298="","",COUNTA(B$7:B298))</f>
        <v/>
      </c>
      <c r="B298" s="19"/>
      <c r="C298" s="20"/>
      <c r="D298" s="19" t="str">
        <f aca="false">IF(B298="","",IF(D297="",Report!$B$12,D297))</f>
        <v/>
      </c>
      <c r="E298" s="22" t="str">
        <f aca="false">IF(B298="","",IF(C298&lt;&gt;"",C298,E297+D297/1440+SUMIFS(Holds!$F$7:$F$46,Holds!$B$7:$B$46,"&gt;="&amp;E297,Holds!$B$7:$B$46,"&lt;"&amp;E297+D297/1440)/1440))</f>
        <v/>
      </c>
      <c r="F298" s="19"/>
      <c r="G298" s="19"/>
      <c r="H298" s="19"/>
      <c r="I298" s="19"/>
      <c r="J298" s="19"/>
      <c r="K298" s="19"/>
      <c r="L298" s="19"/>
      <c r="M298" s="19"/>
      <c r="N298" s="19"/>
      <c r="O298" s="18" t="str">
        <f aca="false">IF(F298="","",IFERROR(INDEX(Parts!$C$6:$C$45,MATCH(F298,Parts!$A$6:$A$45,0)),""))</f>
        <v/>
      </c>
      <c r="P298" s="18" t="str">
        <f aca="false">IF(F298="","",IFERROR(INDEX(Parts!$E$6:$E$45,MATCH(F298,Parts!$A$6:$A$45,0)),""))</f>
        <v/>
      </c>
      <c r="Q298" s="23" t="str">
        <f aca="false">IF(OR(J298="",P298="",P298=0),"",J298/P298+IF(OR(N298="",K298=""),0,IFERROR(N298/INDEX(Parts!$E$6:$E$45,MATCH(K298,Parts!$A$6:$A$45,0)),0)))</f>
        <v/>
      </c>
      <c r="R298" s="24" t="str">
        <f aca="false">IF(B298="","",IF(J298="",0,J298*IFERROR(INDEX(Parts!$F$6:$F$45,MATCH(F298,Parts!$A$6:$A$45,0)),0))+IF(N298="",0,N298*IFERROR(INDEX(Parts!$F$6:$F$45,MATCH(K298,Parts!$A$6:$A$45,0)),0)))</f>
        <v/>
      </c>
      <c r="S298" s="19"/>
      <c r="T298" s="19"/>
      <c r="U298" s="18" t="str">
        <f aca="false">IF(B298="","",IF(F298="",Settings!$B$9,IFERROR(INDEX(Parts!$H$6:$H$45,MATCH(F298,Parts!$A$6:$A$45,0))+0,Settings!$B$9)))</f>
        <v/>
      </c>
      <c r="V298" s="22" t="str">
        <f aca="false">IF(B298="","",IF(INDEX($E$7:$E$336,ROW()-6+Settings!$B$7)&lt;&gt;"",INDEX($E$7:$E$336,ROW()-6+Settings!$B$7),E298+Settings!$B$7*D298/1440))</f>
        <v/>
      </c>
      <c r="W298" s="22" t="str">
        <f aca="false">IF(B298="","",IF(INDEX($E$7:$E$336,ROW()-6+Settings!$B$7+Settings!$B$8)&lt;&gt;"",INDEX($E$7:$E$336,ROW()-6+Settings!$B$7+Settings!$B$8),E298+(Settings!$B$7+Settings!$B$8)*D298/1440)+U298/1440)</f>
        <v/>
      </c>
      <c r="X298" s="18" t="str">
        <f aca="false">IF(B298="","",IF(INDEX($E$7:$E$336,ROW()-6+Settings!$B$7+Settings!$B$8)&lt;&gt;"","line","estimate"))</f>
        <v/>
      </c>
      <c r="Y298" s="25" t="str">
        <f aca="false">IF(B298="","",INT(W298-Settings!$B$6))</f>
        <v/>
      </c>
      <c r="Z298" s="19"/>
      <c r="AA298" s="18" t="str">
        <f aca="false">IF(B298="","",IF(AND(B298&lt;&gt;"Empty",F298=""),"part missing; ","")&amp;IF(AND(F298&lt;&gt;"",J298=""),"pieces missing; ","")&amp;IF(AND(F298&lt;&gt;"",O298=""),"part not on the Parts sheet; ","")&amp;IF(AND(B298="Empty",OR(F298&lt;&gt;"",K298&lt;&gt;"")),"empty tray with parts; ","")&amp;IF(AND(B298="Loaded",K298&lt;&gt;""),"second part: type Mixed; ","")&amp;IF(AND(Q298&lt;&gt;"",N(Q298)&gt;1),"over 100 % of the spec load; ","")&amp;IF(N(R298)&gt;Settings!$B$10,"over the tray maximum (kg); ","")&amp;IF(AND(K298&lt;&gt;"",IFERROR(INDEX(Parts!$C$6:$C$45,MATCH(K298,Parts!$A$6:$A$45,0)),O298)&lt;&gt;O298),"different processes in one tray; ","")&amp;IF(AND(S298&lt;&gt;"",T298=""),"rework reason missing; ",""))</f>
        <v/>
      </c>
    </row>
    <row r="299" customFormat="false" ht="15" hidden="false" customHeight="false" outlineLevel="0" collapsed="false">
      <c r="A299" s="18" t="str">
        <f aca="false">IF(B299="","",COUNTA(B$7:B299))</f>
        <v/>
      </c>
      <c r="B299" s="19"/>
      <c r="C299" s="20"/>
      <c r="D299" s="19" t="str">
        <f aca="false">IF(B299="","",IF(D298="",Report!$B$12,D298))</f>
        <v/>
      </c>
      <c r="E299" s="22" t="str">
        <f aca="false">IF(B299="","",IF(C299&lt;&gt;"",C299,E298+D298/1440+SUMIFS(Holds!$F$7:$F$46,Holds!$B$7:$B$46,"&gt;="&amp;E298,Holds!$B$7:$B$46,"&lt;"&amp;E298+D298/1440)/1440))</f>
        <v/>
      </c>
      <c r="F299" s="19"/>
      <c r="G299" s="19"/>
      <c r="H299" s="19"/>
      <c r="I299" s="19"/>
      <c r="J299" s="19"/>
      <c r="K299" s="19"/>
      <c r="L299" s="19"/>
      <c r="M299" s="19"/>
      <c r="N299" s="19"/>
      <c r="O299" s="18" t="str">
        <f aca="false">IF(F299="","",IFERROR(INDEX(Parts!$C$6:$C$45,MATCH(F299,Parts!$A$6:$A$45,0)),""))</f>
        <v/>
      </c>
      <c r="P299" s="18" t="str">
        <f aca="false">IF(F299="","",IFERROR(INDEX(Parts!$E$6:$E$45,MATCH(F299,Parts!$A$6:$A$45,0)),""))</f>
        <v/>
      </c>
      <c r="Q299" s="23" t="str">
        <f aca="false">IF(OR(J299="",P299="",P299=0),"",J299/P299+IF(OR(N299="",K299=""),0,IFERROR(N299/INDEX(Parts!$E$6:$E$45,MATCH(K299,Parts!$A$6:$A$45,0)),0)))</f>
        <v/>
      </c>
      <c r="R299" s="24" t="str">
        <f aca="false">IF(B299="","",IF(J299="",0,J299*IFERROR(INDEX(Parts!$F$6:$F$45,MATCH(F299,Parts!$A$6:$A$45,0)),0))+IF(N299="",0,N299*IFERROR(INDEX(Parts!$F$6:$F$45,MATCH(K299,Parts!$A$6:$A$45,0)),0)))</f>
        <v/>
      </c>
      <c r="S299" s="19"/>
      <c r="T299" s="19"/>
      <c r="U299" s="18" t="str">
        <f aca="false">IF(B299="","",IF(F299="",Settings!$B$9,IFERROR(INDEX(Parts!$H$6:$H$45,MATCH(F299,Parts!$A$6:$A$45,0))+0,Settings!$B$9)))</f>
        <v/>
      </c>
      <c r="V299" s="22" t="str">
        <f aca="false">IF(B299="","",IF(INDEX($E$7:$E$336,ROW()-6+Settings!$B$7)&lt;&gt;"",INDEX($E$7:$E$336,ROW()-6+Settings!$B$7),E299+Settings!$B$7*D299/1440))</f>
        <v/>
      </c>
      <c r="W299" s="22" t="str">
        <f aca="false">IF(B299="","",IF(INDEX($E$7:$E$336,ROW()-6+Settings!$B$7+Settings!$B$8)&lt;&gt;"",INDEX($E$7:$E$336,ROW()-6+Settings!$B$7+Settings!$B$8),E299+(Settings!$B$7+Settings!$B$8)*D299/1440)+U299/1440)</f>
        <v/>
      </c>
      <c r="X299" s="18" t="str">
        <f aca="false">IF(B299="","",IF(INDEX($E$7:$E$336,ROW()-6+Settings!$B$7+Settings!$B$8)&lt;&gt;"","line","estimate"))</f>
        <v/>
      </c>
      <c r="Y299" s="25" t="str">
        <f aca="false">IF(B299="","",INT(W299-Settings!$B$6))</f>
        <v/>
      </c>
      <c r="Z299" s="19"/>
      <c r="AA299" s="18" t="str">
        <f aca="false">IF(B299="","",IF(AND(B299&lt;&gt;"Empty",F299=""),"part missing; ","")&amp;IF(AND(F299&lt;&gt;"",J299=""),"pieces missing; ","")&amp;IF(AND(F299&lt;&gt;"",O299=""),"part not on the Parts sheet; ","")&amp;IF(AND(B299="Empty",OR(F299&lt;&gt;"",K299&lt;&gt;"")),"empty tray with parts; ","")&amp;IF(AND(B299="Loaded",K299&lt;&gt;""),"second part: type Mixed; ","")&amp;IF(AND(Q299&lt;&gt;"",N(Q299)&gt;1),"over 100 % of the spec load; ","")&amp;IF(N(R299)&gt;Settings!$B$10,"over the tray maximum (kg); ","")&amp;IF(AND(K299&lt;&gt;"",IFERROR(INDEX(Parts!$C$6:$C$45,MATCH(K299,Parts!$A$6:$A$45,0)),O299)&lt;&gt;O299),"different processes in one tray; ","")&amp;IF(AND(S299&lt;&gt;"",T299=""),"rework reason missing; ",""))</f>
        <v/>
      </c>
    </row>
    <row r="300" customFormat="false" ht="15" hidden="false" customHeight="false" outlineLevel="0" collapsed="false">
      <c r="A300" s="18" t="str">
        <f aca="false">IF(B300="","",COUNTA(B$7:B300))</f>
        <v/>
      </c>
      <c r="B300" s="19"/>
      <c r="C300" s="20"/>
      <c r="D300" s="19" t="str">
        <f aca="false">IF(B300="","",IF(D299="",Report!$B$12,D299))</f>
        <v/>
      </c>
      <c r="E300" s="22" t="str">
        <f aca="false">IF(B300="","",IF(C300&lt;&gt;"",C300,E299+D299/1440+SUMIFS(Holds!$F$7:$F$46,Holds!$B$7:$B$46,"&gt;="&amp;E299,Holds!$B$7:$B$46,"&lt;"&amp;E299+D299/1440)/1440))</f>
        <v/>
      </c>
      <c r="F300" s="19"/>
      <c r="G300" s="19"/>
      <c r="H300" s="19"/>
      <c r="I300" s="19"/>
      <c r="J300" s="19"/>
      <c r="K300" s="19"/>
      <c r="L300" s="19"/>
      <c r="M300" s="19"/>
      <c r="N300" s="19"/>
      <c r="O300" s="18" t="str">
        <f aca="false">IF(F300="","",IFERROR(INDEX(Parts!$C$6:$C$45,MATCH(F300,Parts!$A$6:$A$45,0)),""))</f>
        <v/>
      </c>
      <c r="P300" s="18" t="str">
        <f aca="false">IF(F300="","",IFERROR(INDEX(Parts!$E$6:$E$45,MATCH(F300,Parts!$A$6:$A$45,0)),""))</f>
        <v/>
      </c>
      <c r="Q300" s="23" t="str">
        <f aca="false">IF(OR(J300="",P300="",P300=0),"",J300/P300+IF(OR(N300="",K300=""),0,IFERROR(N300/INDEX(Parts!$E$6:$E$45,MATCH(K300,Parts!$A$6:$A$45,0)),0)))</f>
        <v/>
      </c>
      <c r="R300" s="24" t="str">
        <f aca="false">IF(B300="","",IF(J300="",0,J300*IFERROR(INDEX(Parts!$F$6:$F$45,MATCH(F300,Parts!$A$6:$A$45,0)),0))+IF(N300="",0,N300*IFERROR(INDEX(Parts!$F$6:$F$45,MATCH(K300,Parts!$A$6:$A$45,0)),0)))</f>
        <v/>
      </c>
      <c r="S300" s="19"/>
      <c r="T300" s="19"/>
      <c r="U300" s="18" t="str">
        <f aca="false">IF(B300="","",IF(F300="",Settings!$B$9,IFERROR(INDEX(Parts!$H$6:$H$45,MATCH(F300,Parts!$A$6:$A$45,0))+0,Settings!$B$9)))</f>
        <v/>
      </c>
      <c r="V300" s="22" t="str">
        <f aca="false">IF(B300="","",IF(INDEX($E$7:$E$336,ROW()-6+Settings!$B$7)&lt;&gt;"",INDEX($E$7:$E$336,ROW()-6+Settings!$B$7),E300+Settings!$B$7*D300/1440))</f>
        <v/>
      </c>
      <c r="W300" s="22" t="str">
        <f aca="false">IF(B300="","",IF(INDEX($E$7:$E$336,ROW()-6+Settings!$B$7+Settings!$B$8)&lt;&gt;"",INDEX($E$7:$E$336,ROW()-6+Settings!$B$7+Settings!$B$8),E300+(Settings!$B$7+Settings!$B$8)*D300/1440)+U300/1440)</f>
        <v/>
      </c>
      <c r="X300" s="18" t="str">
        <f aca="false">IF(B300="","",IF(INDEX($E$7:$E$336,ROW()-6+Settings!$B$7+Settings!$B$8)&lt;&gt;"","line","estimate"))</f>
        <v/>
      </c>
      <c r="Y300" s="25" t="str">
        <f aca="false">IF(B300="","",INT(W300-Settings!$B$6))</f>
        <v/>
      </c>
      <c r="Z300" s="19"/>
      <c r="AA300" s="18" t="str">
        <f aca="false">IF(B300="","",IF(AND(B300&lt;&gt;"Empty",F300=""),"part missing; ","")&amp;IF(AND(F300&lt;&gt;"",J300=""),"pieces missing; ","")&amp;IF(AND(F300&lt;&gt;"",O300=""),"part not on the Parts sheet; ","")&amp;IF(AND(B300="Empty",OR(F300&lt;&gt;"",K300&lt;&gt;"")),"empty tray with parts; ","")&amp;IF(AND(B300="Loaded",K300&lt;&gt;""),"second part: type Mixed; ","")&amp;IF(AND(Q300&lt;&gt;"",N(Q300)&gt;1),"over 100 % of the spec load; ","")&amp;IF(N(R300)&gt;Settings!$B$10,"over the tray maximum (kg); ","")&amp;IF(AND(K300&lt;&gt;"",IFERROR(INDEX(Parts!$C$6:$C$45,MATCH(K300,Parts!$A$6:$A$45,0)),O300)&lt;&gt;O300),"different processes in one tray; ","")&amp;IF(AND(S300&lt;&gt;"",T300=""),"rework reason missing; ",""))</f>
        <v/>
      </c>
    </row>
    <row r="301" customFormat="false" ht="15" hidden="false" customHeight="false" outlineLevel="0" collapsed="false">
      <c r="A301" s="18" t="str">
        <f aca="false">IF(B301="","",COUNTA(B$7:B301))</f>
        <v/>
      </c>
      <c r="B301" s="19"/>
      <c r="C301" s="20"/>
      <c r="D301" s="19" t="str">
        <f aca="false">IF(B301="","",IF(D300="",Report!$B$12,D300))</f>
        <v/>
      </c>
      <c r="E301" s="22" t="str">
        <f aca="false">IF(B301="","",IF(C301&lt;&gt;"",C301,E300+D300/1440+SUMIFS(Holds!$F$7:$F$46,Holds!$B$7:$B$46,"&gt;="&amp;E300,Holds!$B$7:$B$46,"&lt;"&amp;E300+D300/1440)/1440))</f>
        <v/>
      </c>
      <c r="F301" s="19"/>
      <c r="G301" s="19"/>
      <c r="H301" s="19"/>
      <c r="I301" s="19"/>
      <c r="J301" s="19"/>
      <c r="K301" s="19"/>
      <c r="L301" s="19"/>
      <c r="M301" s="19"/>
      <c r="N301" s="19"/>
      <c r="O301" s="18" t="str">
        <f aca="false">IF(F301="","",IFERROR(INDEX(Parts!$C$6:$C$45,MATCH(F301,Parts!$A$6:$A$45,0)),""))</f>
        <v/>
      </c>
      <c r="P301" s="18" t="str">
        <f aca="false">IF(F301="","",IFERROR(INDEX(Parts!$E$6:$E$45,MATCH(F301,Parts!$A$6:$A$45,0)),""))</f>
        <v/>
      </c>
      <c r="Q301" s="23" t="str">
        <f aca="false">IF(OR(J301="",P301="",P301=0),"",J301/P301+IF(OR(N301="",K301=""),0,IFERROR(N301/INDEX(Parts!$E$6:$E$45,MATCH(K301,Parts!$A$6:$A$45,0)),0)))</f>
        <v/>
      </c>
      <c r="R301" s="24" t="str">
        <f aca="false">IF(B301="","",IF(J301="",0,J301*IFERROR(INDEX(Parts!$F$6:$F$45,MATCH(F301,Parts!$A$6:$A$45,0)),0))+IF(N301="",0,N301*IFERROR(INDEX(Parts!$F$6:$F$45,MATCH(K301,Parts!$A$6:$A$45,0)),0)))</f>
        <v/>
      </c>
      <c r="S301" s="19"/>
      <c r="T301" s="19"/>
      <c r="U301" s="18" t="str">
        <f aca="false">IF(B301="","",IF(F301="",Settings!$B$9,IFERROR(INDEX(Parts!$H$6:$H$45,MATCH(F301,Parts!$A$6:$A$45,0))+0,Settings!$B$9)))</f>
        <v/>
      </c>
      <c r="V301" s="22" t="str">
        <f aca="false">IF(B301="","",IF(INDEX($E$7:$E$336,ROW()-6+Settings!$B$7)&lt;&gt;"",INDEX($E$7:$E$336,ROW()-6+Settings!$B$7),E301+Settings!$B$7*D301/1440))</f>
        <v/>
      </c>
      <c r="W301" s="22" t="str">
        <f aca="false">IF(B301="","",IF(INDEX($E$7:$E$336,ROW()-6+Settings!$B$7+Settings!$B$8)&lt;&gt;"",INDEX($E$7:$E$336,ROW()-6+Settings!$B$7+Settings!$B$8),E301+(Settings!$B$7+Settings!$B$8)*D301/1440)+U301/1440)</f>
        <v/>
      </c>
      <c r="X301" s="18" t="str">
        <f aca="false">IF(B301="","",IF(INDEX($E$7:$E$336,ROW()-6+Settings!$B$7+Settings!$B$8)&lt;&gt;"","line","estimate"))</f>
        <v/>
      </c>
      <c r="Y301" s="25" t="str">
        <f aca="false">IF(B301="","",INT(W301-Settings!$B$6))</f>
        <v/>
      </c>
      <c r="Z301" s="19"/>
      <c r="AA301" s="18" t="str">
        <f aca="false">IF(B301="","",IF(AND(B301&lt;&gt;"Empty",F301=""),"part missing; ","")&amp;IF(AND(F301&lt;&gt;"",J301=""),"pieces missing; ","")&amp;IF(AND(F301&lt;&gt;"",O301=""),"part not on the Parts sheet; ","")&amp;IF(AND(B301="Empty",OR(F301&lt;&gt;"",K301&lt;&gt;"")),"empty tray with parts; ","")&amp;IF(AND(B301="Loaded",K301&lt;&gt;""),"second part: type Mixed; ","")&amp;IF(AND(Q301&lt;&gt;"",N(Q301)&gt;1),"over 100 % of the spec load; ","")&amp;IF(N(R301)&gt;Settings!$B$10,"over the tray maximum (kg); ","")&amp;IF(AND(K301&lt;&gt;"",IFERROR(INDEX(Parts!$C$6:$C$45,MATCH(K301,Parts!$A$6:$A$45,0)),O301)&lt;&gt;O301),"different processes in one tray; ","")&amp;IF(AND(S301&lt;&gt;"",T301=""),"rework reason missing; ",""))</f>
        <v/>
      </c>
    </row>
    <row r="302" customFormat="false" ht="15" hidden="false" customHeight="false" outlineLevel="0" collapsed="false">
      <c r="A302" s="18" t="str">
        <f aca="false">IF(B302="","",COUNTA(B$7:B302))</f>
        <v/>
      </c>
      <c r="B302" s="19"/>
      <c r="C302" s="20"/>
      <c r="D302" s="19" t="str">
        <f aca="false">IF(B302="","",IF(D301="",Report!$B$12,D301))</f>
        <v/>
      </c>
      <c r="E302" s="22" t="str">
        <f aca="false">IF(B302="","",IF(C302&lt;&gt;"",C302,E301+D301/1440+SUMIFS(Holds!$F$7:$F$46,Holds!$B$7:$B$46,"&gt;="&amp;E301,Holds!$B$7:$B$46,"&lt;"&amp;E301+D301/1440)/1440))</f>
        <v/>
      </c>
      <c r="F302" s="19"/>
      <c r="G302" s="19"/>
      <c r="H302" s="19"/>
      <c r="I302" s="19"/>
      <c r="J302" s="19"/>
      <c r="K302" s="19"/>
      <c r="L302" s="19"/>
      <c r="M302" s="19"/>
      <c r="N302" s="19"/>
      <c r="O302" s="18" t="str">
        <f aca="false">IF(F302="","",IFERROR(INDEX(Parts!$C$6:$C$45,MATCH(F302,Parts!$A$6:$A$45,0)),""))</f>
        <v/>
      </c>
      <c r="P302" s="18" t="str">
        <f aca="false">IF(F302="","",IFERROR(INDEX(Parts!$E$6:$E$45,MATCH(F302,Parts!$A$6:$A$45,0)),""))</f>
        <v/>
      </c>
      <c r="Q302" s="23" t="str">
        <f aca="false">IF(OR(J302="",P302="",P302=0),"",J302/P302+IF(OR(N302="",K302=""),0,IFERROR(N302/INDEX(Parts!$E$6:$E$45,MATCH(K302,Parts!$A$6:$A$45,0)),0)))</f>
        <v/>
      </c>
      <c r="R302" s="24" t="str">
        <f aca="false">IF(B302="","",IF(J302="",0,J302*IFERROR(INDEX(Parts!$F$6:$F$45,MATCH(F302,Parts!$A$6:$A$45,0)),0))+IF(N302="",0,N302*IFERROR(INDEX(Parts!$F$6:$F$45,MATCH(K302,Parts!$A$6:$A$45,0)),0)))</f>
        <v/>
      </c>
      <c r="S302" s="19"/>
      <c r="T302" s="19"/>
      <c r="U302" s="18" t="str">
        <f aca="false">IF(B302="","",IF(F302="",Settings!$B$9,IFERROR(INDEX(Parts!$H$6:$H$45,MATCH(F302,Parts!$A$6:$A$45,0))+0,Settings!$B$9)))</f>
        <v/>
      </c>
      <c r="V302" s="22" t="str">
        <f aca="false">IF(B302="","",IF(INDEX($E$7:$E$336,ROW()-6+Settings!$B$7)&lt;&gt;"",INDEX($E$7:$E$336,ROW()-6+Settings!$B$7),E302+Settings!$B$7*D302/1440))</f>
        <v/>
      </c>
      <c r="W302" s="22" t="str">
        <f aca="false">IF(B302="","",IF(INDEX($E$7:$E$336,ROW()-6+Settings!$B$7+Settings!$B$8)&lt;&gt;"",INDEX($E$7:$E$336,ROW()-6+Settings!$B$7+Settings!$B$8),E302+(Settings!$B$7+Settings!$B$8)*D302/1440)+U302/1440)</f>
        <v/>
      </c>
      <c r="X302" s="18" t="str">
        <f aca="false">IF(B302="","",IF(INDEX($E$7:$E$336,ROW()-6+Settings!$B$7+Settings!$B$8)&lt;&gt;"","line","estimate"))</f>
        <v/>
      </c>
      <c r="Y302" s="25" t="str">
        <f aca="false">IF(B302="","",INT(W302-Settings!$B$6))</f>
        <v/>
      </c>
      <c r="Z302" s="19"/>
      <c r="AA302" s="18" t="str">
        <f aca="false">IF(B302="","",IF(AND(B302&lt;&gt;"Empty",F302=""),"part missing; ","")&amp;IF(AND(F302&lt;&gt;"",J302=""),"pieces missing; ","")&amp;IF(AND(F302&lt;&gt;"",O302=""),"part not on the Parts sheet; ","")&amp;IF(AND(B302="Empty",OR(F302&lt;&gt;"",K302&lt;&gt;"")),"empty tray with parts; ","")&amp;IF(AND(B302="Loaded",K302&lt;&gt;""),"second part: type Mixed; ","")&amp;IF(AND(Q302&lt;&gt;"",N(Q302)&gt;1),"over 100 % of the spec load; ","")&amp;IF(N(R302)&gt;Settings!$B$10,"over the tray maximum (kg); ","")&amp;IF(AND(K302&lt;&gt;"",IFERROR(INDEX(Parts!$C$6:$C$45,MATCH(K302,Parts!$A$6:$A$45,0)),O302)&lt;&gt;O302),"different processes in one tray; ","")&amp;IF(AND(S302&lt;&gt;"",T302=""),"rework reason missing; ",""))</f>
        <v/>
      </c>
    </row>
    <row r="303" customFormat="false" ht="15" hidden="false" customHeight="false" outlineLevel="0" collapsed="false">
      <c r="A303" s="18" t="str">
        <f aca="false">IF(B303="","",COUNTA(B$7:B303))</f>
        <v/>
      </c>
      <c r="B303" s="19"/>
      <c r="C303" s="20"/>
      <c r="D303" s="19" t="str">
        <f aca="false">IF(B303="","",IF(D302="",Report!$B$12,D302))</f>
        <v/>
      </c>
      <c r="E303" s="22" t="str">
        <f aca="false">IF(B303="","",IF(C303&lt;&gt;"",C303,E302+D302/1440+SUMIFS(Holds!$F$7:$F$46,Holds!$B$7:$B$46,"&gt;="&amp;E302,Holds!$B$7:$B$46,"&lt;"&amp;E302+D302/1440)/1440))</f>
        <v/>
      </c>
      <c r="F303" s="19"/>
      <c r="G303" s="19"/>
      <c r="H303" s="19"/>
      <c r="I303" s="19"/>
      <c r="J303" s="19"/>
      <c r="K303" s="19"/>
      <c r="L303" s="19"/>
      <c r="M303" s="19"/>
      <c r="N303" s="19"/>
      <c r="O303" s="18" t="str">
        <f aca="false">IF(F303="","",IFERROR(INDEX(Parts!$C$6:$C$45,MATCH(F303,Parts!$A$6:$A$45,0)),""))</f>
        <v/>
      </c>
      <c r="P303" s="18" t="str">
        <f aca="false">IF(F303="","",IFERROR(INDEX(Parts!$E$6:$E$45,MATCH(F303,Parts!$A$6:$A$45,0)),""))</f>
        <v/>
      </c>
      <c r="Q303" s="23" t="str">
        <f aca="false">IF(OR(J303="",P303="",P303=0),"",J303/P303+IF(OR(N303="",K303=""),0,IFERROR(N303/INDEX(Parts!$E$6:$E$45,MATCH(K303,Parts!$A$6:$A$45,0)),0)))</f>
        <v/>
      </c>
      <c r="R303" s="24" t="str">
        <f aca="false">IF(B303="","",IF(J303="",0,J303*IFERROR(INDEX(Parts!$F$6:$F$45,MATCH(F303,Parts!$A$6:$A$45,0)),0))+IF(N303="",0,N303*IFERROR(INDEX(Parts!$F$6:$F$45,MATCH(K303,Parts!$A$6:$A$45,0)),0)))</f>
        <v/>
      </c>
      <c r="S303" s="19"/>
      <c r="T303" s="19"/>
      <c r="U303" s="18" t="str">
        <f aca="false">IF(B303="","",IF(F303="",Settings!$B$9,IFERROR(INDEX(Parts!$H$6:$H$45,MATCH(F303,Parts!$A$6:$A$45,0))+0,Settings!$B$9)))</f>
        <v/>
      </c>
      <c r="V303" s="22" t="str">
        <f aca="false">IF(B303="","",IF(INDEX($E$7:$E$336,ROW()-6+Settings!$B$7)&lt;&gt;"",INDEX($E$7:$E$336,ROW()-6+Settings!$B$7),E303+Settings!$B$7*D303/1440))</f>
        <v/>
      </c>
      <c r="W303" s="22" t="str">
        <f aca="false">IF(B303="","",IF(INDEX($E$7:$E$336,ROW()-6+Settings!$B$7+Settings!$B$8)&lt;&gt;"",INDEX($E$7:$E$336,ROW()-6+Settings!$B$7+Settings!$B$8),E303+(Settings!$B$7+Settings!$B$8)*D303/1440)+U303/1440)</f>
        <v/>
      </c>
      <c r="X303" s="18" t="str">
        <f aca="false">IF(B303="","",IF(INDEX($E$7:$E$336,ROW()-6+Settings!$B$7+Settings!$B$8)&lt;&gt;"","line","estimate"))</f>
        <v/>
      </c>
      <c r="Y303" s="25" t="str">
        <f aca="false">IF(B303="","",INT(W303-Settings!$B$6))</f>
        <v/>
      </c>
      <c r="Z303" s="19"/>
      <c r="AA303" s="18" t="str">
        <f aca="false">IF(B303="","",IF(AND(B303&lt;&gt;"Empty",F303=""),"part missing; ","")&amp;IF(AND(F303&lt;&gt;"",J303=""),"pieces missing; ","")&amp;IF(AND(F303&lt;&gt;"",O303=""),"part not on the Parts sheet; ","")&amp;IF(AND(B303="Empty",OR(F303&lt;&gt;"",K303&lt;&gt;"")),"empty tray with parts; ","")&amp;IF(AND(B303="Loaded",K303&lt;&gt;""),"second part: type Mixed; ","")&amp;IF(AND(Q303&lt;&gt;"",N(Q303)&gt;1),"over 100 % of the spec load; ","")&amp;IF(N(R303)&gt;Settings!$B$10,"over the tray maximum (kg); ","")&amp;IF(AND(K303&lt;&gt;"",IFERROR(INDEX(Parts!$C$6:$C$45,MATCH(K303,Parts!$A$6:$A$45,0)),O303)&lt;&gt;O303),"different processes in one tray; ","")&amp;IF(AND(S303&lt;&gt;"",T303=""),"rework reason missing; ",""))</f>
        <v/>
      </c>
    </row>
    <row r="304" customFormat="false" ht="15" hidden="false" customHeight="false" outlineLevel="0" collapsed="false">
      <c r="A304" s="18" t="str">
        <f aca="false">IF(B304="","",COUNTA(B$7:B304))</f>
        <v/>
      </c>
      <c r="B304" s="19"/>
      <c r="C304" s="20"/>
      <c r="D304" s="19" t="str">
        <f aca="false">IF(B304="","",IF(D303="",Report!$B$12,D303))</f>
        <v/>
      </c>
      <c r="E304" s="22" t="str">
        <f aca="false">IF(B304="","",IF(C304&lt;&gt;"",C304,E303+D303/1440+SUMIFS(Holds!$F$7:$F$46,Holds!$B$7:$B$46,"&gt;="&amp;E303,Holds!$B$7:$B$46,"&lt;"&amp;E303+D303/1440)/1440))</f>
        <v/>
      </c>
      <c r="F304" s="19"/>
      <c r="G304" s="19"/>
      <c r="H304" s="19"/>
      <c r="I304" s="19"/>
      <c r="J304" s="19"/>
      <c r="K304" s="19"/>
      <c r="L304" s="19"/>
      <c r="M304" s="19"/>
      <c r="N304" s="19"/>
      <c r="O304" s="18" t="str">
        <f aca="false">IF(F304="","",IFERROR(INDEX(Parts!$C$6:$C$45,MATCH(F304,Parts!$A$6:$A$45,0)),""))</f>
        <v/>
      </c>
      <c r="P304" s="18" t="str">
        <f aca="false">IF(F304="","",IFERROR(INDEX(Parts!$E$6:$E$45,MATCH(F304,Parts!$A$6:$A$45,0)),""))</f>
        <v/>
      </c>
      <c r="Q304" s="23" t="str">
        <f aca="false">IF(OR(J304="",P304="",P304=0),"",J304/P304+IF(OR(N304="",K304=""),0,IFERROR(N304/INDEX(Parts!$E$6:$E$45,MATCH(K304,Parts!$A$6:$A$45,0)),0)))</f>
        <v/>
      </c>
      <c r="R304" s="24" t="str">
        <f aca="false">IF(B304="","",IF(J304="",0,J304*IFERROR(INDEX(Parts!$F$6:$F$45,MATCH(F304,Parts!$A$6:$A$45,0)),0))+IF(N304="",0,N304*IFERROR(INDEX(Parts!$F$6:$F$45,MATCH(K304,Parts!$A$6:$A$45,0)),0)))</f>
        <v/>
      </c>
      <c r="S304" s="19"/>
      <c r="T304" s="19"/>
      <c r="U304" s="18" t="str">
        <f aca="false">IF(B304="","",IF(F304="",Settings!$B$9,IFERROR(INDEX(Parts!$H$6:$H$45,MATCH(F304,Parts!$A$6:$A$45,0))+0,Settings!$B$9)))</f>
        <v/>
      </c>
      <c r="V304" s="22" t="str">
        <f aca="false">IF(B304="","",IF(INDEX($E$7:$E$336,ROW()-6+Settings!$B$7)&lt;&gt;"",INDEX($E$7:$E$336,ROW()-6+Settings!$B$7),E304+Settings!$B$7*D304/1440))</f>
        <v/>
      </c>
      <c r="W304" s="22" t="str">
        <f aca="false">IF(B304="","",IF(INDEX($E$7:$E$336,ROW()-6+Settings!$B$7+Settings!$B$8)&lt;&gt;"",INDEX($E$7:$E$336,ROW()-6+Settings!$B$7+Settings!$B$8),E304+(Settings!$B$7+Settings!$B$8)*D304/1440)+U304/1440)</f>
        <v/>
      </c>
      <c r="X304" s="18" t="str">
        <f aca="false">IF(B304="","",IF(INDEX($E$7:$E$336,ROW()-6+Settings!$B$7+Settings!$B$8)&lt;&gt;"","line","estimate"))</f>
        <v/>
      </c>
      <c r="Y304" s="25" t="str">
        <f aca="false">IF(B304="","",INT(W304-Settings!$B$6))</f>
        <v/>
      </c>
      <c r="Z304" s="19"/>
      <c r="AA304" s="18" t="str">
        <f aca="false">IF(B304="","",IF(AND(B304&lt;&gt;"Empty",F304=""),"part missing; ","")&amp;IF(AND(F304&lt;&gt;"",J304=""),"pieces missing; ","")&amp;IF(AND(F304&lt;&gt;"",O304=""),"part not on the Parts sheet; ","")&amp;IF(AND(B304="Empty",OR(F304&lt;&gt;"",K304&lt;&gt;"")),"empty tray with parts; ","")&amp;IF(AND(B304="Loaded",K304&lt;&gt;""),"second part: type Mixed; ","")&amp;IF(AND(Q304&lt;&gt;"",N(Q304)&gt;1),"over 100 % of the spec load; ","")&amp;IF(N(R304)&gt;Settings!$B$10,"over the tray maximum (kg); ","")&amp;IF(AND(K304&lt;&gt;"",IFERROR(INDEX(Parts!$C$6:$C$45,MATCH(K304,Parts!$A$6:$A$45,0)),O304)&lt;&gt;O304),"different processes in one tray; ","")&amp;IF(AND(S304&lt;&gt;"",T304=""),"rework reason missing; ",""))</f>
        <v/>
      </c>
    </row>
    <row r="305" customFormat="false" ht="15" hidden="false" customHeight="false" outlineLevel="0" collapsed="false">
      <c r="A305" s="18" t="str">
        <f aca="false">IF(B305="","",COUNTA(B$7:B305))</f>
        <v/>
      </c>
      <c r="B305" s="19"/>
      <c r="C305" s="20"/>
      <c r="D305" s="19" t="str">
        <f aca="false">IF(B305="","",IF(D304="",Report!$B$12,D304))</f>
        <v/>
      </c>
      <c r="E305" s="22" t="str">
        <f aca="false">IF(B305="","",IF(C305&lt;&gt;"",C305,E304+D304/1440+SUMIFS(Holds!$F$7:$F$46,Holds!$B$7:$B$46,"&gt;="&amp;E304,Holds!$B$7:$B$46,"&lt;"&amp;E304+D304/1440)/1440))</f>
        <v/>
      </c>
      <c r="F305" s="19"/>
      <c r="G305" s="19"/>
      <c r="H305" s="19"/>
      <c r="I305" s="19"/>
      <c r="J305" s="19"/>
      <c r="K305" s="19"/>
      <c r="L305" s="19"/>
      <c r="M305" s="19"/>
      <c r="N305" s="19"/>
      <c r="O305" s="18" t="str">
        <f aca="false">IF(F305="","",IFERROR(INDEX(Parts!$C$6:$C$45,MATCH(F305,Parts!$A$6:$A$45,0)),""))</f>
        <v/>
      </c>
      <c r="P305" s="18" t="str">
        <f aca="false">IF(F305="","",IFERROR(INDEX(Parts!$E$6:$E$45,MATCH(F305,Parts!$A$6:$A$45,0)),""))</f>
        <v/>
      </c>
      <c r="Q305" s="23" t="str">
        <f aca="false">IF(OR(J305="",P305="",P305=0),"",J305/P305+IF(OR(N305="",K305=""),0,IFERROR(N305/INDEX(Parts!$E$6:$E$45,MATCH(K305,Parts!$A$6:$A$45,0)),0)))</f>
        <v/>
      </c>
      <c r="R305" s="24" t="str">
        <f aca="false">IF(B305="","",IF(J305="",0,J305*IFERROR(INDEX(Parts!$F$6:$F$45,MATCH(F305,Parts!$A$6:$A$45,0)),0))+IF(N305="",0,N305*IFERROR(INDEX(Parts!$F$6:$F$45,MATCH(K305,Parts!$A$6:$A$45,0)),0)))</f>
        <v/>
      </c>
      <c r="S305" s="19"/>
      <c r="T305" s="19"/>
      <c r="U305" s="18" t="str">
        <f aca="false">IF(B305="","",IF(F305="",Settings!$B$9,IFERROR(INDEX(Parts!$H$6:$H$45,MATCH(F305,Parts!$A$6:$A$45,0))+0,Settings!$B$9)))</f>
        <v/>
      </c>
      <c r="V305" s="22" t="str">
        <f aca="false">IF(B305="","",IF(INDEX($E$7:$E$336,ROW()-6+Settings!$B$7)&lt;&gt;"",INDEX($E$7:$E$336,ROW()-6+Settings!$B$7),E305+Settings!$B$7*D305/1440))</f>
        <v/>
      </c>
      <c r="W305" s="22" t="str">
        <f aca="false">IF(B305="","",IF(INDEX($E$7:$E$336,ROW()-6+Settings!$B$7+Settings!$B$8)&lt;&gt;"",INDEX($E$7:$E$336,ROW()-6+Settings!$B$7+Settings!$B$8),E305+(Settings!$B$7+Settings!$B$8)*D305/1440)+U305/1440)</f>
        <v/>
      </c>
      <c r="X305" s="18" t="str">
        <f aca="false">IF(B305="","",IF(INDEX($E$7:$E$336,ROW()-6+Settings!$B$7+Settings!$B$8)&lt;&gt;"","line","estimate"))</f>
        <v/>
      </c>
      <c r="Y305" s="25" t="str">
        <f aca="false">IF(B305="","",INT(W305-Settings!$B$6))</f>
        <v/>
      </c>
      <c r="Z305" s="19"/>
      <c r="AA305" s="18" t="str">
        <f aca="false">IF(B305="","",IF(AND(B305&lt;&gt;"Empty",F305=""),"part missing; ","")&amp;IF(AND(F305&lt;&gt;"",J305=""),"pieces missing; ","")&amp;IF(AND(F305&lt;&gt;"",O305=""),"part not on the Parts sheet; ","")&amp;IF(AND(B305="Empty",OR(F305&lt;&gt;"",K305&lt;&gt;"")),"empty tray with parts; ","")&amp;IF(AND(B305="Loaded",K305&lt;&gt;""),"second part: type Mixed; ","")&amp;IF(AND(Q305&lt;&gt;"",N(Q305)&gt;1),"over 100 % of the spec load; ","")&amp;IF(N(R305)&gt;Settings!$B$10,"over the tray maximum (kg); ","")&amp;IF(AND(K305&lt;&gt;"",IFERROR(INDEX(Parts!$C$6:$C$45,MATCH(K305,Parts!$A$6:$A$45,0)),O305)&lt;&gt;O305),"different processes in one tray; ","")&amp;IF(AND(S305&lt;&gt;"",T305=""),"rework reason missing; ",""))</f>
        <v/>
      </c>
    </row>
    <row r="306" customFormat="false" ht="15" hidden="false" customHeight="false" outlineLevel="0" collapsed="false">
      <c r="A306" s="18" t="str">
        <f aca="false">IF(B306="","",COUNTA(B$7:B306))</f>
        <v/>
      </c>
      <c r="B306" s="19"/>
      <c r="C306" s="20"/>
      <c r="D306" s="19" t="str">
        <f aca="false">IF(B306="","",IF(D305="",Report!$B$12,D305))</f>
        <v/>
      </c>
      <c r="E306" s="22" t="str">
        <f aca="false">IF(B306="","",IF(C306&lt;&gt;"",C306,E305+D305/1440+SUMIFS(Holds!$F$7:$F$46,Holds!$B$7:$B$46,"&gt;="&amp;E305,Holds!$B$7:$B$46,"&lt;"&amp;E305+D305/1440)/1440))</f>
        <v/>
      </c>
      <c r="F306" s="19"/>
      <c r="G306" s="19"/>
      <c r="H306" s="19"/>
      <c r="I306" s="19"/>
      <c r="J306" s="19"/>
      <c r="K306" s="19"/>
      <c r="L306" s="19"/>
      <c r="M306" s="19"/>
      <c r="N306" s="19"/>
      <c r="O306" s="18" t="str">
        <f aca="false">IF(F306="","",IFERROR(INDEX(Parts!$C$6:$C$45,MATCH(F306,Parts!$A$6:$A$45,0)),""))</f>
        <v/>
      </c>
      <c r="P306" s="18" t="str">
        <f aca="false">IF(F306="","",IFERROR(INDEX(Parts!$E$6:$E$45,MATCH(F306,Parts!$A$6:$A$45,0)),""))</f>
        <v/>
      </c>
      <c r="Q306" s="23" t="str">
        <f aca="false">IF(OR(J306="",P306="",P306=0),"",J306/P306+IF(OR(N306="",K306=""),0,IFERROR(N306/INDEX(Parts!$E$6:$E$45,MATCH(K306,Parts!$A$6:$A$45,0)),0)))</f>
        <v/>
      </c>
      <c r="R306" s="24" t="str">
        <f aca="false">IF(B306="","",IF(J306="",0,J306*IFERROR(INDEX(Parts!$F$6:$F$45,MATCH(F306,Parts!$A$6:$A$45,0)),0))+IF(N306="",0,N306*IFERROR(INDEX(Parts!$F$6:$F$45,MATCH(K306,Parts!$A$6:$A$45,0)),0)))</f>
        <v/>
      </c>
      <c r="S306" s="19"/>
      <c r="T306" s="19"/>
      <c r="U306" s="18" t="str">
        <f aca="false">IF(B306="","",IF(F306="",Settings!$B$9,IFERROR(INDEX(Parts!$H$6:$H$45,MATCH(F306,Parts!$A$6:$A$45,0))+0,Settings!$B$9)))</f>
        <v/>
      </c>
      <c r="V306" s="22" t="str">
        <f aca="false">IF(B306="","",IF(INDEX($E$7:$E$336,ROW()-6+Settings!$B$7)&lt;&gt;"",INDEX($E$7:$E$336,ROW()-6+Settings!$B$7),E306+Settings!$B$7*D306/1440))</f>
        <v/>
      </c>
      <c r="W306" s="22" t="str">
        <f aca="false">IF(B306="","",IF(INDEX($E$7:$E$336,ROW()-6+Settings!$B$7+Settings!$B$8)&lt;&gt;"",INDEX($E$7:$E$336,ROW()-6+Settings!$B$7+Settings!$B$8),E306+(Settings!$B$7+Settings!$B$8)*D306/1440)+U306/1440)</f>
        <v/>
      </c>
      <c r="X306" s="18" t="str">
        <f aca="false">IF(B306="","",IF(INDEX($E$7:$E$336,ROW()-6+Settings!$B$7+Settings!$B$8)&lt;&gt;"","line","estimate"))</f>
        <v/>
      </c>
      <c r="Y306" s="25" t="str">
        <f aca="false">IF(B306="","",INT(W306-Settings!$B$6))</f>
        <v/>
      </c>
      <c r="Z306" s="19"/>
      <c r="AA306" s="18" t="str">
        <f aca="false">IF(B306="","",IF(AND(B306&lt;&gt;"Empty",F306=""),"part missing; ","")&amp;IF(AND(F306&lt;&gt;"",J306=""),"pieces missing; ","")&amp;IF(AND(F306&lt;&gt;"",O306=""),"part not on the Parts sheet; ","")&amp;IF(AND(B306="Empty",OR(F306&lt;&gt;"",K306&lt;&gt;"")),"empty tray with parts; ","")&amp;IF(AND(B306="Loaded",K306&lt;&gt;""),"second part: type Mixed; ","")&amp;IF(AND(Q306&lt;&gt;"",N(Q306)&gt;1),"over 100 % of the spec load; ","")&amp;IF(N(R306)&gt;Settings!$B$10,"over the tray maximum (kg); ","")&amp;IF(AND(K306&lt;&gt;"",IFERROR(INDEX(Parts!$C$6:$C$45,MATCH(K306,Parts!$A$6:$A$45,0)),O306)&lt;&gt;O306),"different processes in one tray; ","")&amp;IF(AND(S306&lt;&gt;"",T306=""),"rework reason missing; ",""))</f>
        <v/>
      </c>
    </row>
  </sheetData>
  <autoFilter ref="A6:AA306"/>
  <conditionalFormatting sqref="A7:AA306">
    <cfRule type="expression" priority="2" aboveAverage="0" equalAverage="0" bottom="0" percent="0" rank="0" text="" dxfId="7">
      <formula>$AA7&lt;&gt;""</formula>
    </cfRule>
    <cfRule type="expression" priority="3" aboveAverage="0" equalAverage="0" bottom="0" percent="0" rank="0" text="" dxfId="8">
      <formula>$B7="Empty"</formula>
    </cfRule>
  </conditionalFormatting>
  <dataValidations count="1">
    <dataValidation allowBlank="true" errorStyle="stop" operator="between" showDropDown="false" showErrorMessage="false" showInputMessage="false" sqref="B7:B306" type="list">
      <formula1>Settings!$B$15:$B$34</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&amp;LMWSPL-F-PROD-01 rev 00&amp;RPage &amp;P of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16"/>
    <col collapsed="false" customWidth="true" hidden="false" outlineLevel="0" max="4" min="4" style="0" width="30"/>
    <col collapsed="false" customWidth="true" hidden="false" outlineLevel="0" max="5" min="5" style="0" width="22"/>
    <col collapsed="false" customWidth="true" hidden="false" outlineLevel="0" max="6" min="6" style="0" width="10"/>
    <col collapsed="false" customWidth="true" hidden="false" outlineLevel="0" max="7" min="7" style="0" width="16"/>
    <col collapsed="false" customWidth="true" hidden="false" outlineLevel="0" max="8" min="8" style="0" width="36"/>
  </cols>
  <sheetData>
    <row r="1" customFormat="false" ht="15" hidden="false" customHeight="false" outlineLevel="0" collapsed="false">
      <c r="A1" s="1" t="s">
        <v>0</v>
      </c>
    </row>
    <row r="2" customFormat="false" ht="17.35" hidden="false" customHeight="false" outlineLevel="0" collapsed="false">
      <c r="A2" s="2" t="s">
        <v>116</v>
      </c>
    </row>
    <row r="3" customFormat="false" ht="15" hidden="false" customHeight="false" outlineLevel="0" collapsed="false">
      <c r="A3" s="3" t="s">
        <v>117</v>
      </c>
    </row>
    <row r="6" customFormat="false" ht="31.5" hidden="false" customHeight="true" outlineLevel="0" collapsed="false">
      <c r="A6" s="17" t="s">
        <v>118</v>
      </c>
      <c r="B6" s="17" t="s">
        <v>119</v>
      </c>
      <c r="C6" s="17" t="s">
        <v>120</v>
      </c>
      <c r="D6" s="17" t="s">
        <v>121</v>
      </c>
      <c r="E6" s="17" t="s">
        <v>122</v>
      </c>
      <c r="F6" s="17" t="s">
        <v>123</v>
      </c>
      <c r="G6" s="17" t="s">
        <v>124</v>
      </c>
      <c r="H6" s="17" t="s">
        <v>93</v>
      </c>
    </row>
    <row r="7" customFormat="false" ht="15" hidden="false" customHeight="false" outlineLevel="0" collapsed="false">
      <c r="A7" s="18" t="n">
        <f aca="false">IF(B7="","",ROW()-6)</f>
        <v>1</v>
      </c>
      <c r="B7" s="20" t="n">
        <v>46320.375</v>
      </c>
      <c r="C7" s="20" t="n">
        <v>46320.4027777778</v>
      </c>
      <c r="D7" s="19" t="s">
        <v>125</v>
      </c>
      <c r="E7" s="19" t="s">
        <v>126</v>
      </c>
      <c r="F7" s="18" t="n">
        <f aca="false">IF(OR(B7="",C7=""),"",ROUND((C7-B7)*1440,0))</f>
        <v>40</v>
      </c>
      <c r="G7" s="19" t="s">
        <v>127</v>
      </c>
      <c r="H7" s="19" t="s">
        <v>128</v>
      </c>
    </row>
    <row r="8" customFormat="false" ht="15" hidden="false" customHeight="false" outlineLevel="0" collapsed="false">
      <c r="A8" s="18" t="str">
        <f aca="false">IF(B8="","",ROW()-6)</f>
        <v/>
      </c>
      <c r="B8" s="20"/>
      <c r="C8" s="20"/>
      <c r="D8" s="19"/>
      <c r="E8" s="19"/>
      <c r="F8" s="18" t="str">
        <f aca="false">IF(OR(B8="",C8=""),"",ROUND((C8-B8)*1440,0))</f>
        <v/>
      </c>
      <c r="G8" s="19"/>
      <c r="H8" s="19"/>
    </row>
    <row r="9" customFormat="false" ht="15" hidden="false" customHeight="false" outlineLevel="0" collapsed="false">
      <c r="A9" s="18" t="str">
        <f aca="false">IF(B9="","",ROW()-6)</f>
        <v/>
      </c>
      <c r="B9" s="20"/>
      <c r="C9" s="20"/>
      <c r="D9" s="19"/>
      <c r="E9" s="19"/>
      <c r="F9" s="18" t="str">
        <f aca="false">IF(OR(B9="",C9=""),"",ROUND((C9-B9)*1440,0))</f>
        <v/>
      </c>
      <c r="G9" s="19"/>
      <c r="H9" s="19"/>
    </row>
    <row r="10" customFormat="false" ht="15" hidden="false" customHeight="false" outlineLevel="0" collapsed="false">
      <c r="A10" s="18" t="str">
        <f aca="false">IF(B10="","",ROW()-6)</f>
        <v/>
      </c>
      <c r="B10" s="20"/>
      <c r="C10" s="20"/>
      <c r="D10" s="19"/>
      <c r="E10" s="19"/>
      <c r="F10" s="18" t="str">
        <f aca="false">IF(OR(B10="",C10=""),"",ROUND((C10-B10)*1440,0))</f>
        <v/>
      </c>
      <c r="G10" s="19"/>
      <c r="H10" s="19"/>
    </row>
    <row r="11" customFormat="false" ht="15" hidden="false" customHeight="false" outlineLevel="0" collapsed="false">
      <c r="A11" s="18" t="str">
        <f aca="false">IF(B11="","",ROW()-6)</f>
        <v/>
      </c>
      <c r="B11" s="20"/>
      <c r="C11" s="20"/>
      <c r="D11" s="19"/>
      <c r="E11" s="19"/>
      <c r="F11" s="18" t="str">
        <f aca="false">IF(OR(B11="",C11=""),"",ROUND((C11-B11)*1440,0))</f>
        <v/>
      </c>
      <c r="G11" s="19"/>
      <c r="H11" s="19"/>
    </row>
    <row r="12" customFormat="false" ht="15" hidden="false" customHeight="false" outlineLevel="0" collapsed="false">
      <c r="A12" s="18" t="str">
        <f aca="false">IF(B12="","",ROW()-6)</f>
        <v/>
      </c>
      <c r="B12" s="20"/>
      <c r="C12" s="20"/>
      <c r="D12" s="19"/>
      <c r="E12" s="19"/>
      <c r="F12" s="18" t="str">
        <f aca="false">IF(OR(B12="",C12=""),"",ROUND((C12-B12)*1440,0))</f>
        <v/>
      </c>
      <c r="G12" s="19"/>
      <c r="H12" s="19"/>
    </row>
    <row r="13" customFormat="false" ht="15" hidden="false" customHeight="false" outlineLevel="0" collapsed="false">
      <c r="A13" s="18" t="str">
        <f aca="false">IF(B13="","",ROW()-6)</f>
        <v/>
      </c>
      <c r="B13" s="20"/>
      <c r="C13" s="20"/>
      <c r="D13" s="19"/>
      <c r="E13" s="19"/>
      <c r="F13" s="18" t="str">
        <f aca="false">IF(OR(B13="",C13=""),"",ROUND((C13-B13)*1440,0))</f>
        <v/>
      </c>
      <c r="G13" s="19"/>
      <c r="H13" s="19"/>
    </row>
    <row r="14" customFormat="false" ht="15" hidden="false" customHeight="false" outlineLevel="0" collapsed="false">
      <c r="A14" s="18" t="str">
        <f aca="false">IF(B14="","",ROW()-6)</f>
        <v/>
      </c>
      <c r="B14" s="20"/>
      <c r="C14" s="20"/>
      <c r="D14" s="19"/>
      <c r="E14" s="19"/>
      <c r="F14" s="18" t="str">
        <f aca="false">IF(OR(B14="",C14=""),"",ROUND((C14-B14)*1440,0))</f>
        <v/>
      </c>
      <c r="G14" s="19"/>
      <c r="H14" s="19"/>
    </row>
    <row r="15" customFormat="false" ht="15" hidden="false" customHeight="false" outlineLevel="0" collapsed="false">
      <c r="A15" s="18" t="str">
        <f aca="false">IF(B15="","",ROW()-6)</f>
        <v/>
      </c>
      <c r="B15" s="20"/>
      <c r="C15" s="20"/>
      <c r="D15" s="19"/>
      <c r="E15" s="19"/>
      <c r="F15" s="18" t="str">
        <f aca="false">IF(OR(B15="",C15=""),"",ROUND((C15-B15)*1440,0))</f>
        <v/>
      </c>
      <c r="G15" s="19"/>
      <c r="H15" s="19"/>
    </row>
    <row r="16" customFormat="false" ht="15" hidden="false" customHeight="false" outlineLevel="0" collapsed="false">
      <c r="A16" s="18" t="str">
        <f aca="false">IF(B16="","",ROW()-6)</f>
        <v/>
      </c>
      <c r="B16" s="20"/>
      <c r="C16" s="20"/>
      <c r="D16" s="19"/>
      <c r="E16" s="19"/>
      <c r="F16" s="18" t="str">
        <f aca="false">IF(OR(B16="",C16=""),"",ROUND((C16-B16)*1440,0))</f>
        <v/>
      </c>
      <c r="G16" s="19"/>
      <c r="H16" s="19"/>
    </row>
    <row r="17" customFormat="false" ht="15" hidden="false" customHeight="false" outlineLevel="0" collapsed="false">
      <c r="A17" s="18" t="str">
        <f aca="false">IF(B17="","",ROW()-6)</f>
        <v/>
      </c>
      <c r="B17" s="20"/>
      <c r="C17" s="20"/>
      <c r="D17" s="19"/>
      <c r="E17" s="19"/>
      <c r="F17" s="18" t="str">
        <f aca="false">IF(OR(B17="",C17=""),"",ROUND((C17-B17)*1440,0))</f>
        <v/>
      </c>
      <c r="G17" s="19"/>
      <c r="H17" s="19"/>
    </row>
    <row r="18" customFormat="false" ht="15" hidden="false" customHeight="false" outlineLevel="0" collapsed="false">
      <c r="A18" s="18" t="str">
        <f aca="false">IF(B18="","",ROW()-6)</f>
        <v/>
      </c>
      <c r="B18" s="20"/>
      <c r="C18" s="20"/>
      <c r="D18" s="19"/>
      <c r="E18" s="19"/>
      <c r="F18" s="18" t="str">
        <f aca="false">IF(OR(B18="",C18=""),"",ROUND((C18-B18)*1440,0))</f>
        <v/>
      </c>
      <c r="G18" s="19"/>
      <c r="H18" s="19"/>
    </row>
    <row r="19" customFormat="false" ht="15" hidden="false" customHeight="false" outlineLevel="0" collapsed="false">
      <c r="A19" s="18" t="str">
        <f aca="false">IF(B19="","",ROW()-6)</f>
        <v/>
      </c>
      <c r="B19" s="20"/>
      <c r="C19" s="20"/>
      <c r="D19" s="19"/>
      <c r="E19" s="19"/>
      <c r="F19" s="18" t="str">
        <f aca="false">IF(OR(B19="",C19=""),"",ROUND((C19-B19)*1440,0))</f>
        <v/>
      </c>
      <c r="G19" s="19"/>
      <c r="H19" s="19"/>
    </row>
    <row r="20" customFormat="false" ht="15" hidden="false" customHeight="false" outlineLevel="0" collapsed="false">
      <c r="A20" s="18" t="str">
        <f aca="false">IF(B20="","",ROW()-6)</f>
        <v/>
      </c>
      <c r="B20" s="20"/>
      <c r="C20" s="20"/>
      <c r="D20" s="19"/>
      <c r="E20" s="19"/>
      <c r="F20" s="18" t="str">
        <f aca="false">IF(OR(B20="",C20=""),"",ROUND((C20-B20)*1440,0))</f>
        <v/>
      </c>
      <c r="G20" s="19"/>
      <c r="H20" s="19"/>
    </row>
    <row r="21" customFormat="false" ht="15" hidden="false" customHeight="false" outlineLevel="0" collapsed="false">
      <c r="A21" s="18" t="str">
        <f aca="false">IF(B21="","",ROW()-6)</f>
        <v/>
      </c>
      <c r="B21" s="20"/>
      <c r="C21" s="20"/>
      <c r="D21" s="19"/>
      <c r="E21" s="19"/>
      <c r="F21" s="18" t="str">
        <f aca="false">IF(OR(B21="",C21=""),"",ROUND((C21-B21)*1440,0))</f>
        <v/>
      </c>
      <c r="G21" s="19"/>
      <c r="H21" s="19"/>
    </row>
    <row r="22" customFormat="false" ht="15" hidden="false" customHeight="false" outlineLevel="0" collapsed="false">
      <c r="A22" s="18" t="str">
        <f aca="false">IF(B22="","",ROW()-6)</f>
        <v/>
      </c>
      <c r="B22" s="20"/>
      <c r="C22" s="20"/>
      <c r="D22" s="19"/>
      <c r="E22" s="19"/>
      <c r="F22" s="18" t="str">
        <f aca="false">IF(OR(B22="",C22=""),"",ROUND((C22-B22)*1440,0))</f>
        <v/>
      </c>
      <c r="G22" s="19"/>
      <c r="H22" s="19"/>
    </row>
    <row r="23" customFormat="false" ht="15" hidden="false" customHeight="false" outlineLevel="0" collapsed="false">
      <c r="A23" s="18" t="str">
        <f aca="false">IF(B23="","",ROW()-6)</f>
        <v/>
      </c>
      <c r="B23" s="20"/>
      <c r="C23" s="20"/>
      <c r="D23" s="19"/>
      <c r="E23" s="19"/>
      <c r="F23" s="18" t="str">
        <f aca="false">IF(OR(B23="",C23=""),"",ROUND((C23-B23)*1440,0))</f>
        <v/>
      </c>
      <c r="G23" s="19"/>
      <c r="H23" s="19"/>
    </row>
    <row r="24" customFormat="false" ht="15" hidden="false" customHeight="false" outlineLevel="0" collapsed="false">
      <c r="A24" s="18" t="str">
        <f aca="false">IF(B24="","",ROW()-6)</f>
        <v/>
      </c>
      <c r="B24" s="20"/>
      <c r="C24" s="20"/>
      <c r="D24" s="19"/>
      <c r="E24" s="19"/>
      <c r="F24" s="18" t="str">
        <f aca="false">IF(OR(B24="",C24=""),"",ROUND((C24-B24)*1440,0))</f>
        <v/>
      </c>
      <c r="G24" s="19"/>
      <c r="H24" s="19"/>
    </row>
    <row r="25" customFormat="false" ht="15" hidden="false" customHeight="false" outlineLevel="0" collapsed="false">
      <c r="A25" s="18" t="str">
        <f aca="false">IF(B25="","",ROW()-6)</f>
        <v/>
      </c>
      <c r="B25" s="20"/>
      <c r="C25" s="20"/>
      <c r="D25" s="19"/>
      <c r="E25" s="19"/>
      <c r="F25" s="18" t="str">
        <f aca="false">IF(OR(B25="",C25=""),"",ROUND((C25-B25)*1440,0))</f>
        <v/>
      </c>
      <c r="G25" s="19"/>
      <c r="H25" s="19"/>
    </row>
    <row r="26" customFormat="false" ht="15" hidden="false" customHeight="false" outlineLevel="0" collapsed="false">
      <c r="A26" s="18" t="str">
        <f aca="false">IF(B26="","",ROW()-6)</f>
        <v/>
      </c>
      <c r="B26" s="20"/>
      <c r="C26" s="20"/>
      <c r="D26" s="19"/>
      <c r="E26" s="19"/>
      <c r="F26" s="18" t="str">
        <f aca="false">IF(OR(B26="",C26=""),"",ROUND((C26-B26)*1440,0))</f>
        <v/>
      </c>
      <c r="G26" s="19"/>
      <c r="H26" s="19"/>
    </row>
    <row r="27" customFormat="false" ht="15" hidden="false" customHeight="false" outlineLevel="0" collapsed="false">
      <c r="A27" s="18" t="str">
        <f aca="false">IF(B27="","",ROW()-6)</f>
        <v/>
      </c>
      <c r="B27" s="20"/>
      <c r="C27" s="20"/>
      <c r="D27" s="19"/>
      <c r="E27" s="19"/>
      <c r="F27" s="18" t="str">
        <f aca="false">IF(OR(B27="",C27=""),"",ROUND((C27-B27)*1440,0))</f>
        <v/>
      </c>
      <c r="G27" s="19"/>
      <c r="H27" s="19"/>
    </row>
    <row r="28" customFormat="false" ht="15" hidden="false" customHeight="false" outlineLevel="0" collapsed="false">
      <c r="A28" s="18" t="str">
        <f aca="false">IF(B28="","",ROW()-6)</f>
        <v/>
      </c>
      <c r="B28" s="20"/>
      <c r="C28" s="20"/>
      <c r="D28" s="19"/>
      <c r="E28" s="19"/>
      <c r="F28" s="18" t="str">
        <f aca="false">IF(OR(B28="",C28=""),"",ROUND((C28-B28)*1440,0))</f>
        <v/>
      </c>
      <c r="G28" s="19"/>
      <c r="H28" s="19"/>
    </row>
    <row r="29" customFormat="false" ht="15" hidden="false" customHeight="false" outlineLevel="0" collapsed="false">
      <c r="A29" s="18" t="str">
        <f aca="false">IF(B29="","",ROW()-6)</f>
        <v/>
      </c>
      <c r="B29" s="20"/>
      <c r="C29" s="20"/>
      <c r="D29" s="19"/>
      <c r="E29" s="19"/>
      <c r="F29" s="18" t="str">
        <f aca="false">IF(OR(B29="",C29=""),"",ROUND((C29-B29)*1440,0))</f>
        <v/>
      </c>
      <c r="G29" s="19"/>
      <c r="H29" s="19"/>
    </row>
    <row r="30" customFormat="false" ht="15" hidden="false" customHeight="false" outlineLevel="0" collapsed="false">
      <c r="A30" s="18" t="str">
        <f aca="false">IF(B30="","",ROW()-6)</f>
        <v/>
      </c>
      <c r="B30" s="20"/>
      <c r="C30" s="20"/>
      <c r="D30" s="19"/>
      <c r="E30" s="19"/>
      <c r="F30" s="18" t="str">
        <f aca="false">IF(OR(B30="",C30=""),"",ROUND((C30-B30)*1440,0))</f>
        <v/>
      </c>
      <c r="G30" s="19"/>
      <c r="H30" s="19"/>
    </row>
    <row r="31" customFormat="false" ht="15" hidden="false" customHeight="false" outlineLevel="0" collapsed="false">
      <c r="A31" s="18" t="str">
        <f aca="false">IF(B31="","",ROW()-6)</f>
        <v/>
      </c>
      <c r="B31" s="20"/>
      <c r="C31" s="20"/>
      <c r="D31" s="19"/>
      <c r="E31" s="19"/>
      <c r="F31" s="18" t="str">
        <f aca="false">IF(OR(B31="",C31=""),"",ROUND((C31-B31)*1440,0))</f>
        <v/>
      </c>
      <c r="G31" s="19"/>
      <c r="H31" s="19"/>
    </row>
    <row r="32" customFormat="false" ht="15" hidden="false" customHeight="false" outlineLevel="0" collapsed="false">
      <c r="A32" s="18" t="str">
        <f aca="false">IF(B32="","",ROW()-6)</f>
        <v/>
      </c>
      <c r="B32" s="20"/>
      <c r="C32" s="20"/>
      <c r="D32" s="19"/>
      <c r="E32" s="19"/>
      <c r="F32" s="18" t="str">
        <f aca="false">IF(OR(B32="",C32=""),"",ROUND((C32-B32)*1440,0))</f>
        <v/>
      </c>
      <c r="G32" s="19"/>
      <c r="H32" s="19"/>
    </row>
    <row r="33" customFormat="false" ht="15" hidden="false" customHeight="false" outlineLevel="0" collapsed="false">
      <c r="A33" s="18" t="str">
        <f aca="false">IF(B33="","",ROW()-6)</f>
        <v/>
      </c>
      <c r="B33" s="20"/>
      <c r="C33" s="20"/>
      <c r="D33" s="19"/>
      <c r="E33" s="19"/>
      <c r="F33" s="18" t="str">
        <f aca="false">IF(OR(B33="",C33=""),"",ROUND((C33-B33)*1440,0))</f>
        <v/>
      </c>
      <c r="G33" s="19"/>
      <c r="H33" s="19"/>
    </row>
    <row r="34" customFormat="false" ht="15" hidden="false" customHeight="false" outlineLevel="0" collapsed="false">
      <c r="A34" s="18" t="str">
        <f aca="false">IF(B34="","",ROW()-6)</f>
        <v/>
      </c>
      <c r="B34" s="20"/>
      <c r="C34" s="20"/>
      <c r="D34" s="19"/>
      <c r="E34" s="19"/>
      <c r="F34" s="18" t="str">
        <f aca="false">IF(OR(B34="",C34=""),"",ROUND((C34-B34)*1440,0))</f>
        <v/>
      </c>
      <c r="G34" s="19"/>
      <c r="H34" s="19"/>
    </row>
    <row r="35" customFormat="false" ht="15" hidden="false" customHeight="false" outlineLevel="0" collapsed="false">
      <c r="A35" s="18" t="str">
        <f aca="false">IF(B35="","",ROW()-6)</f>
        <v/>
      </c>
      <c r="B35" s="20"/>
      <c r="C35" s="20"/>
      <c r="D35" s="19"/>
      <c r="E35" s="19"/>
      <c r="F35" s="18" t="str">
        <f aca="false">IF(OR(B35="",C35=""),"",ROUND((C35-B35)*1440,0))</f>
        <v/>
      </c>
      <c r="G35" s="19"/>
      <c r="H35" s="19"/>
    </row>
    <row r="36" customFormat="false" ht="15" hidden="false" customHeight="false" outlineLevel="0" collapsed="false">
      <c r="A36" s="18" t="str">
        <f aca="false">IF(B36="","",ROW()-6)</f>
        <v/>
      </c>
      <c r="B36" s="20"/>
      <c r="C36" s="20"/>
      <c r="D36" s="19"/>
      <c r="E36" s="19"/>
      <c r="F36" s="18" t="str">
        <f aca="false">IF(OR(B36="",C36=""),"",ROUND((C36-B36)*1440,0))</f>
        <v/>
      </c>
      <c r="G36" s="19"/>
      <c r="H36" s="19"/>
    </row>
    <row r="37" customFormat="false" ht="15" hidden="false" customHeight="false" outlineLevel="0" collapsed="false">
      <c r="A37" s="18" t="str">
        <f aca="false">IF(B37="","",ROW()-6)</f>
        <v/>
      </c>
      <c r="B37" s="20"/>
      <c r="C37" s="20"/>
      <c r="D37" s="19"/>
      <c r="E37" s="19"/>
      <c r="F37" s="18" t="str">
        <f aca="false">IF(OR(B37="",C37=""),"",ROUND((C37-B37)*1440,0))</f>
        <v/>
      </c>
      <c r="G37" s="19"/>
      <c r="H37" s="19"/>
    </row>
    <row r="38" customFormat="false" ht="15" hidden="false" customHeight="false" outlineLevel="0" collapsed="false">
      <c r="A38" s="18" t="str">
        <f aca="false">IF(B38="","",ROW()-6)</f>
        <v/>
      </c>
      <c r="B38" s="20"/>
      <c r="C38" s="20"/>
      <c r="D38" s="19"/>
      <c r="E38" s="19"/>
      <c r="F38" s="18" t="str">
        <f aca="false">IF(OR(B38="",C38=""),"",ROUND((C38-B38)*1440,0))</f>
        <v/>
      </c>
      <c r="G38" s="19"/>
      <c r="H38" s="19"/>
    </row>
    <row r="39" customFormat="false" ht="15" hidden="false" customHeight="false" outlineLevel="0" collapsed="false">
      <c r="A39" s="18" t="str">
        <f aca="false">IF(B39="","",ROW()-6)</f>
        <v/>
      </c>
      <c r="B39" s="20"/>
      <c r="C39" s="20"/>
      <c r="D39" s="19"/>
      <c r="E39" s="19"/>
      <c r="F39" s="18" t="str">
        <f aca="false">IF(OR(B39="",C39=""),"",ROUND((C39-B39)*1440,0))</f>
        <v/>
      </c>
      <c r="G39" s="19"/>
      <c r="H39" s="19"/>
    </row>
    <row r="40" customFormat="false" ht="15" hidden="false" customHeight="false" outlineLevel="0" collapsed="false">
      <c r="A40" s="18" t="str">
        <f aca="false">IF(B40="","",ROW()-6)</f>
        <v/>
      </c>
      <c r="B40" s="20"/>
      <c r="C40" s="20"/>
      <c r="D40" s="19"/>
      <c r="E40" s="19"/>
      <c r="F40" s="18" t="str">
        <f aca="false">IF(OR(B40="",C40=""),"",ROUND((C40-B40)*1440,0))</f>
        <v/>
      </c>
      <c r="G40" s="19"/>
      <c r="H40" s="19"/>
    </row>
    <row r="41" customFormat="false" ht="15" hidden="false" customHeight="false" outlineLevel="0" collapsed="false">
      <c r="A41" s="18" t="str">
        <f aca="false">IF(B41="","",ROW()-6)</f>
        <v/>
      </c>
      <c r="B41" s="20"/>
      <c r="C41" s="20"/>
      <c r="D41" s="19"/>
      <c r="E41" s="19"/>
      <c r="F41" s="18" t="str">
        <f aca="false">IF(OR(B41="",C41=""),"",ROUND((C41-B41)*1440,0))</f>
        <v/>
      </c>
      <c r="G41" s="19"/>
      <c r="H41" s="19"/>
    </row>
    <row r="42" customFormat="false" ht="15" hidden="false" customHeight="false" outlineLevel="0" collapsed="false">
      <c r="A42" s="18" t="str">
        <f aca="false">IF(B42="","",ROW()-6)</f>
        <v/>
      </c>
      <c r="B42" s="20"/>
      <c r="C42" s="20"/>
      <c r="D42" s="19"/>
      <c r="E42" s="19"/>
      <c r="F42" s="18" t="str">
        <f aca="false">IF(OR(B42="",C42=""),"",ROUND((C42-B42)*1440,0))</f>
        <v/>
      </c>
      <c r="G42" s="19"/>
      <c r="H42" s="19"/>
    </row>
    <row r="43" customFormat="false" ht="15" hidden="false" customHeight="false" outlineLevel="0" collapsed="false">
      <c r="A43" s="18" t="str">
        <f aca="false">IF(B43="","",ROW()-6)</f>
        <v/>
      </c>
      <c r="B43" s="20"/>
      <c r="C43" s="20"/>
      <c r="D43" s="19"/>
      <c r="E43" s="19"/>
      <c r="F43" s="18" t="str">
        <f aca="false">IF(OR(B43="",C43=""),"",ROUND((C43-B43)*1440,0))</f>
        <v/>
      </c>
      <c r="G43" s="19"/>
      <c r="H43" s="19"/>
    </row>
    <row r="44" customFormat="false" ht="15" hidden="false" customHeight="false" outlineLevel="0" collapsed="false">
      <c r="A44" s="18" t="str">
        <f aca="false">IF(B44="","",ROW()-6)</f>
        <v/>
      </c>
      <c r="B44" s="20"/>
      <c r="C44" s="20"/>
      <c r="D44" s="19"/>
      <c r="E44" s="19"/>
      <c r="F44" s="18" t="str">
        <f aca="false">IF(OR(B44="",C44=""),"",ROUND((C44-B44)*1440,0))</f>
        <v/>
      </c>
      <c r="G44" s="19"/>
      <c r="H44" s="19"/>
    </row>
    <row r="45" customFormat="false" ht="15" hidden="false" customHeight="false" outlineLevel="0" collapsed="false">
      <c r="A45" s="18" t="str">
        <f aca="false">IF(B45="","",ROW()-6)</f>
        <v/>
      </c>
      <c r="B45" s="20"/>
      <c r="C45" s="20"/>
      <c r="D45" s="19"/>
      <c r="E45" s="19"/>
      <c r="F45" s="18" t="str">
        <f aca="false">IF(OR(B45="",C45=""),"",ROUND((C45-B45)*1440,0))</f>
        <v/>
      </c>
      <c r="G45" s="19"/>
      <c r="H45" s="19"/>
    </row>
    <row r="46" customFormat="false" ht="15" hidden="false" customHeight="false" outlineLevel="0" collapsed="false">
      <c r="A46" s="18" t="str">
        <f aca="false">IF(B46="","",ROW()-6)</f>
        <v/>
      </c>
      <c r="B46" s="20"/>
      <c r="C46" s="20"/>
      <c r="D46" s="19"/>
      <c r="E46" s="19"/>
      <c r="F46" s="18" t="str">
        <f aca="false">IF(OR(B46="",C46=""),"",ROUND((C46-B46)*1440,0))</f>
        <v/>
      </c>
      <c r="G46" s="19"/>
      <c r="H46" s="19"/>
    </row>
  </sheetData>
  <conditionalFormatting sqref="A7:H46">
    <cfRule type="expression" priority="2" aboveAverage="0" equalAverage="0" bottom="0" percent="0" rank="0" text="" dxfId="7">
      <formula>AND($B7&lt;&gt;"",$C7="")</formula>
    </cfRule>
  </conditionalFormatting>
  <dataValidations count="1">
    <dataValidation allowBlank="true" errorStyle="stop" operator="between" showDropDown="false" showErrorMessage="false" showInputMessage="false" sqref="D7:D46" type="list">
      <formula1>Settings!$D$15:$D$34</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&amp;LMWSPL-F-PROD-01 rev 00&amp;RPage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24"/>
    <col collapsed="false" customWidth="true" hidden="false" outlineLevel="0" max="4" min="4" style="0" width="11"/>
    <col collapsed="false" customWidth="true" hidden="false" outlineLevel="0" max="6" min="5" style="0" width="10"/>
    <col collapsed="false" customWidth="true" hidden="false" outlineLevel="0" max="7" min="7" style="0" width="34"/>
    <col collapsed="false" customWidth="true" hidden="false" outlineLevel="0" max="9" min="8" style="0" width="18"/>
  </cols>
  <sheetData>
    <row r="1" customFormat="false" ht="15" hidden="false" customHeight="false" outlineLevel="0" collapsed="false">
      <c r="A1" s="1" t="s">
        <v>0</v>
      </c>
    </row>
    <row r="2" customFormat="false" ht="17.35" hidden="false" customHeight="false" outlineLevel="0" collapsed="false">
      <c r="A2" s="2" t="s">
        <v>129</v>
      </c>
    </row>
    <row r="3" customFormat="false" ht="15" hidden="false" customHeight="false" outlineLevel="0" collapsed="false">
      <c r="A3" s="3" t="s">
        <v>130</v>
      </c>
    </row>
    <row r="6" customFormat="false" ht="31.5" hidden="false" customHeight="true" outlineLevel="0" collapsed="false">
      <c r="A6" s="17" t="s">
        <v>118</v>
      </c>
      <c r="B6" s="17" t="s">
        <v>131</v>
      </c>
      <c r="C6" s="17" t="s">
        <v>132</v>
      </c>
      <c r="D6" s="17" t="s">
        <v>133</v>
      </c>
      <c r="E6" s="17" t="s">
        <v>134</v>
      </c>
      <c r="F6" s="17" t="s">
        <v>135</v>
      </c>
      <c r="G6" s="17" t="s">
        <v>121</v>
      </c>
      <c r="H6" s="17" t="s">
        <v>124</v>
      </c>
      <c r="I6" s="17" t="s">
        <v>136</v>
      </c>
    </row>
    <row r="7" customFormat="false" ht="15" hidden="false" customHeight="false" outlineLevel="0" collapsed="false">
      <c r="A7" s="18" t="n">
        <f aca="false">IF(B7="","",ROW()-6)</f>
        <v>1</v>
      </c>
      <c r="B7" s="20" t="n">
        <v>46320.34375</v>
      </c>
      <c r="C7" s="19" t="s">
        <v>137</v>
      </c>
      <c r="D7" s="19" t="s">
        <v>138</v>
      </c>
      <c r="E7" s="19" t="n">
        <v>9</v>
      </c>
      <c r="F7" s="19" t="n">
        <v>10</v>
      </c>
      <c r="G7" s="19" t="s">
        <v>139</v>
      </c>
      <c r="H7" s="19" t="s">
        <v>127</v>
      </c>
      <c r="I7" s="19" t="s">
        <v>140</v>
      </c>
    </row>
    <row r="8" customFormat="false" ht="15" hidden="false" customHeight="false" outlineLevel="0" collapsed="false">
      <c r="A8" s="18" t="str">
        <f aca="false">IF(B8="","",ROW()-6)</f>
        <v/>
      </c>
      <c r="B8" s="20"/>
      <c r="C8" s="19"/>
      <c r="D8" s="19"/>
      <c r="E8" s="19"/>
      <c r="F8" s="19"/>
      <c r="G8" s="19"/>
      <c r="H8" s="19"/>
      <c r="I8" s="19"/>
    </row>
    <row r="9" customFormat="false" ht="15" hidden="false" customHeight="false" outlineLevel="0" collapsed="false">
      <c r="A9" s="18" t="str">
        <f aca="false">IF(B9="","",ROW()-6)</f>
        <v/>
      </c>
      <c r="B9" s="20"/>
      <c r="C9" s="19"/>
      <c r="D9" s="19"/>
      <c r="E9" s="19"/>
      <c r="F9" s="19"/>
      <c r="G9" s="19"/>
      <c r="H9" s="19"/>
      <c r="I9" s="19"/>
    </row>
    <row r="10" customFormat="false" ht="15" hidden="false" customHeight="false" outlineLevel="0" collapsed="false">
      <c r="A10" s="18" t="str">
        <f aca="false">IF(B10="","",ROW()-6)</f>
        <v/>
      </c>
      <c r="B10" s="20"/>
      <c r="C10" s="19"/>
      <c r="D10" s="19"/>
      <c r="E10" s="19"/>
      <c r="F10" s="19"/>
      <c r="G10" s="19"/>
      <c r="H10" s="19"/>
      <c r="I10" s="19"/>
    </row>
    <row r="11" customFormat="false" ht="15" hidden="false" customHeight="false" outlineLevel="0" collapsed="false">
      <c r="A11" s="18" t="str">
        <f aca="false">IF(B11="","",ROW()-6)</f>
        <v/>
      </c>
      <c r="B11" s="20"/>
      <c r="C11" s="19"/>
      <c r="D11" s="19"/>
      <c r="E11" s="19"/>
      <c r="F11" s="19"/>
      <c r="G11" s="19"/>
      <c r="H11" s="19"/>
      <c r="I11" s="19"/>
    </row>
    <row r="12" customFormat="false" ht="15" hidden="false" customHeight="false" outlineLevel="0" collapsed="false">
      <c r="A12" s="18" t="str">
        <f aca="false">IF(B12="","",ROW()-6)</f>
        <v/>
      </c>
      <c r="B12" s="20"/>
      <c r="C12" s="19"/>
      <c r="D12" s="19"/>
      <c r="E12" s="19"/>
      <c r="F12" s="19"/>
      <c r="G12" s="19"/>
      <c r="H12" s="19"/>
      <c r="I12" s="19"/>
    </row>
    <row r="13" customFormat="false" ht="15" hidden="false" customHeight="false" outlineLevel="0" collapsed="false">
      <c r="A13" s="18" t="str">
        <f aca="false">IF(B13="","",ROW()-6)</f>
        <v/>
      </c>
      <c r="B13" s="20"/>
      <c r="C13" s="19"/>
      <c r="D13" s="19"/>
      <c r="E13" s="19"/>
      <c r="F13" s="19"/>
      <c r="G13" s="19"/>
      <c r="H13" s="19"/>
      <c r="I13" s="19"/>
    </row>
    <row r="14" customFormat="false" ht="15" hidden="false" customHeight="false" outlineLevel="0" collapsed="false">
      <c r="A14" s="18" t="str">
        <f aca="false">IF(B14="","",ROW()-6)</f>
        <v/>
      </c>
      <c r="B14" s="20"/>
      <c r="C14" s="19"/>
      <c r="D14" s="19"/>
      <c r="E14" s="19"/>
      <c r="F14" s="19"/>
      <c r="G14" s="19"/>
      <c r="H14" s="19"/>
      <c r="I14" s="19"/>
    </row>
    <row r="15" customFormat="false" ht="15" hidden="false" customHeight="false" outlineLevel="0" collapsed="false">
      <c r="A15" s="18" t="str">
        <f aca="false">IF(B15="","",ROW()-6)</f>
        <v/>
      </c>
      <c r="B15" s="20"/>
      <c r="C15" s="19"/>
      <c r="D15" s="19"/>
      <c r="E15" s="19"/>
      <c r="F15" s="19"/>
      <c r="G15" s="19"/>
      <c r="H15" s="19"/>
      <c r="I15" s="19"/>
    </row>
    <row r="16" customFormat="false" ht="15" hidden="false" customHeight="false" outlineLevel="0" collapsed="false">
      <c r="A16" s="18" t="str">
        <f aca="false">IF(B16="","",ROW()-6)</f>
        <v/>
      </c>
      <c r="B16" s="20"/>
      <c r="C16" s="19"/>
      <c r="D16" s="19"/>
      <c r="E16" s="19"/>
      <c r="F16" s="19"/>
      <c r="G16" s="19"/>
      <c r="H16" s="19"/>
      <c r="I16" s="19"/>
    </row>
    <row r="17" customFormat="false" ht="15" hidden="false" customHeight="false" outlineLevel="0" collapsed="false">
      <c r="A17" s="18" t="str">
        <f aca="false">IF(B17="","",ROW()-6)</f>
        <v/>
      </c>
      <c r="B17" s="20"/>
      <c r="C17" s="19"/>
      <c r="D17" s="19"/>
      <c r="E17" s="19"/>
      <c r="F17" s="19"/>
      <c r="G17" s="19"/>
      <c r="H17" s="19"/>
      <c r="I17" s="19"/>
    </row>
    <row r="18" customFormat="false" ht="15" hidden="false" customHeight="false" outlineLevel="0" collapsed="false">
      <c r="A18" s="18" t="str">
        <f aca="false">IF(B18="","",ROW()-6)</f>
        <v/>
      </c>
      <c r="B18" s="20"/>
      <c r="C18" s="19"/>
      <c r="D18" s="19"/>
      <c r="E18" s="19"/>
      <c r="F18" s="19"/>
      <c r="G18" s="19"/>
      <c r="H18" s="19"/>
      <c r="I18" s="19"/>
    </row>
    <row r="19" customFormat="false" ht="15" hidden="false" customHeight="false" outlineLevel="0" collapsed="false">
      <c r="A19" s="18" t="str">
        <f aca="false">IF(B19="","",ROW()-6)</f>
        <v/>
      </c>
      <c r="B19" s="20"/>
      <c r="C19" s="19"/>
      <c r="D19" s="19"/>
      <c r="E19" s="19"/>
      <c r="F19" s="19"/>
      <c r="G19" s="19"/>
      <c r="H19" s="19"/>
      <c r="I19" s="19"/>
    </row>
    <row r="20" customFormat="false" ht="15" hidden="false" customHeight="false" outlineLevel="0" collapsed="false">
      <c r="A20" s="18" t="str">
        <f aca="false">IF(B20="","",ROW()-6)</f>
        <v/>
      </c>
      <c r="B20" s="20"/>
      <c r="C20" s="19"/>
      <c r="D20" s="19"/>
      <c r="E20" s="19"/>
      <c r="F20" s="19"/>
      <c r="G20" s="19"/>
      <c r="H20" s="19"/>
      <c r="I20" s="19"/>
    </row>
    <row r="21" customFormat="false" ht="15" hidden="false" customHeight="false" outlineLevel="0" collapsed="false">
      <c r="A21" s="18" t="str">
        <f aca="false">IF(B21="","",ROW()-6)</f>
        <v/>
      </c>
      <c r="B21" s="20"/>
      <c r="C21" s="19"/>
      <c r="D21" s="19"/>
      <c r="E21" s="19"/>
      <c r="F21" s="19"/>
      <c r="G21" s="19"/>
      <c r="H21" s="19"/>
      <c r="I21" s="19"/>
    </row>
    <row r="22" customFormat="false" ht="15" hidden="false" customHeight="false" outlineLevel="0" collapsed="false">
      <c r="A22" s="18" t="str">
        <f aca="false">IF(B22="","",ROW()-6)</f>
        <v/>
      </c>
      <c r="B22" s="20"/>
      <c r="C22" s="19"/>
      <c r="D22" s="19"/>
      <c r="E22" s="19"/>
      <c r="F22" s="19"/>
      <c r="G22" s="19"/>
      <c r="H22" s="19"/>
      <c r="I22" s="19"/>
    </row>
    <row r="23" customFormat="false" ht="15" hidden="false" customHeight="false" outlineLevel="0" collapsed="false">
      <c r="A23" s="18" t="str">
        <f aca="false">IF(B23="","",ROW()-6)</f>
        <v/>
      </c>
      <c r="B23" s="20"/>
      <c r="C23" s="19"/>
      <c r="D23" s="19"/>
      <c r="E23" s="19"/>
      <c r="F23" s="19"/>
      <c r="G23" s="19"/>
      <c r="H23" s="19"/>
      <c r="I23" s="19"/>
    </row>
    <row r="24" customFormat="false" ht="15" hidden="false" customHeight="false" outlineLevel="0" collapsed="false">
      <c r="A24" s="18" t="str">
        <f aca="false">IF(B24="","",ROW()-6)</f>
        <v/>
      </c>
      <c r="B24" s="20"/>
      <c r="C24" s="19"/>
      <c r="D24" s="19"/>
      <c r="E24" s="19"/>
      <c r="F24" s="19"/>
      <c r="G24" s="19"/>
      <c r="H24" s="19"/>
      <c r="I24" s="19"/>
    </row>
    <row r="25" customFormat="false" ht="15" hidden="false" customHeight="false" outlineLevel="0" collapsed="false">
      <c r="A25" s="18" t="str">
        <f aca="false">IF(B25="","",ROW()-6)</f>
        <v/>
      </c>
      <c r="B25" s="20"/>
      <c r="C25" s="19"/>
      <c r="D25" s="19"/>
      <c r="E25" s="19"/>
      <c r="F25" s="19"/>
      <c r="G25" s="19"/>
      <c r="H25" s="19"/>
      <c r="I25" s="19"/>
    </row>
    <row r="26" customFormat="false" ht="15" hidden="false" customHeight="false" outlineLevel="0" collapsed="false">
      <c r="A26" s="18" t="str">
        <f aca="false">IF(B26="","",ROW()-6)</f>
        <v/>
      </c>
      <c r="B26" s="20"/>
      <c r="C26" s="19"/>
      <c r="D26" s="19"/>
      <c r="E26" s="19"/>
      <c r="F26" s="19"/>
      <c r="G26" s="19"/>
      <c r="H26" s="19"/>
      <c r="I26" s="19"/>
    </row>
    <row r="27" customFormat="false" ht="15" hidden="false" customHeight="false" outlineLevel="0" collapsed="false">
      <c r="A27" s="18" t="str">
        <f aca="false">IF(B27="","",ROW()-6)</f>
        <v/>
      </c>
      <c r="B27" s="20"/>
      <c r="C27" s="19"/>
      <c r="D27" s="19"/>
      <c r="E27" s="19"/>
      <c r="F27" s="19"/>
      <c r="G27" s="19"/>
      <c r="H27" s="19"/>
      <c r="I27" s="19"/>
    </row>
    <row r="28" customFormat="false" ht="15" hidden="false" customHeight="false" outlineLevel="0" collapsed="false">
      <c r="A28" s="18" t="str">
        <f aca="false">IF(B28="","",ROW()-6)</f>
        <v/>
      </c>
      <c r="B28" s="20"/>
      <c r="C28" s="19"/>
      <c r="D28" s="19"/>
      <c r="E28" s="19"/>
      <c r="F28" s="19"/>
      <c r="G28" s="19"/>
      <c r="H28" s="19"/>
      <c r="I28" s="19"/>
    </row>
    <row r="29" customFormat="false" ht="15" hidden="false" customHeight="false" outlineLevel="0" collapsed="false">
      <c r="A29" s="18" t="str">
        <f aca="false">IF(B29="","",ROW()-6)</f>
        <v/>
      </c>
      <c r="B29" s="20"/>
      <c r="C29" s="19"/>
      <c r="D29" s="19"/>
      <c r="E29" s="19"/>
      <c r="F29" s="19"/>
      <c r="G29" s="19"/>
      <c r="H29" s="19"/>
      <c r="I29" s="19"/>
    </row>
    <row r="30" customFormat="false" ht="15" hidden="false" customHeight="false" outlineLevel="0" collapsed="false">
      <c r="A30" s="18" t="str">
        <f aca="false">IF(B30="","",ROW()-6)</f>
        <v/>
      </c>
      <c r="B30" s="20"/>
      <c r="C30" s="19"/>
      <c r="D30" s="19"/>
      <c r="E30" s="19"/>
      <c r="F30" s="19"/>
      <c r="G30" s="19"/>
      <c r="H30" s="19"/>
      <c r="I30" s="19"/>
    </row>
    <row r="31" customFormat="false" ht="15" hidden="false" customHeight="false" outlineLevel="0" collapsed="false">
      <c r="A31" s="18" t="str">
        <f aca="false">IF(B31="","",ROW()-6)</f>
        <v/>
      </c>
      <c r="B31" s="20"/>
      <c r="C31" s="19"/>
      <c r="D31" s="19"/>
      <c r="E31" s="19"/>
      <c r="F31" s="19"/>
      <c r="G31" s="19"/>
      <c r="H31" s="19"/>
      <c r="I31" s="19"/>
    </row>
    <row r="32" customFormat="false" ht="15" hidden="false" customHeight="false" outlineLevel="0" collapsed="false">
      <c r="A32" s="18" t="str">
        <f aca="false">IF(B32="","",ROW()-6)</f>
        <v/>
      </c>
      <c r="B32" s="20"/>
      <c r="C32" s="19"/>
      <c r="D32" s="19"/>
      <c r="E32" s="19"/>
      <c r="F32" s="19"/>
      <c r="G32" s="19"/>
      <c r="H32" s="19"/>
      <c r="I32" s="19"/>
    </row>
    <row r="33" customFormat="false" ht="15" hidden="false" customHeight="false" outlineLevel="0" collapsed="false">
      <c r="A33" s="18" t="str">
        <f aca="false">IF(B33="","",ROW()-6)</f>
        <v/>
      </c>
      <c r="B33" s="20"/>
      <c r="C33" s="19"/>
      <c r="D33" s="19"/>
      <c r="E33" s="19"/>
      <c r="F33" s="19"/>
      <c r="G33" s="19"/>
      <c r="H33" s="19"/>
      <c r="I33" s="19"/>
    </row>
    <row r="34" customFormat="false" ht="15" hidden="false" customHeight="false" outlineLevel="0" collapsed="false">
      <c r="A34" s="18" t="str">
        <f aca="false">IF(B34="","",ROW()-6)</f>
        <v/>
      </c>
      <c r="B34" s="20"/>
      <c r="C34" s="19"/>
      <c r="D34" s="19"/>
      <c r="E34" s="19"/>
      <c r="F34" s="19"/>
      <c r="G34" s="19"/>
      <c r="H34" s="19"/>
      <c r="I34" s="19"/>
    </row>
    <row r="35" customFormat="false" ht="15" hidden="false" customHeight="false" outlineLevel="0" collapsed="false">
      <c r="A35" s="18" t="str">
        <f aca="false">IF(B35="","",ROW()-6)</f>
        <v/>
      </c>
      <c r="B35" s="20"/>
      <c r="C35" s="19"/>
      <c r="D35" s="19"/>
      <c r="E35" s="19"/>
      <c r="F35" s="19"/>
      <c r="G35" s="19"/>
      <c r="H35" s="19"/>
      <c r="I35" s="19"/>
    </row>
    <row r="36" customFormat="false" ht="15" hidden="false" customHeight="false" outlineLevel="0" collapsed="false">
      <c r="A36" s="18" t="str">
        <f aca="false">IF(B36="","",ROW()-6)</f>
        <v/>
      </c>
      <c r="B36" s="20"/>
      <c r="C36" s="19"/>
      <c r="D36" s="19"/>
      <c r="E36" s="19"/>
      <c r="F36" s="19"/>
      <c r="G36" s="19"/>
      <c r="H36" s="19"/>
      <c r="I36" s="19"/>
    </row>
    <row r="37" customFormat="false" ht="15" hidden="false" customHeight="false" outlineLevel="0" collapsed="false">
      <c r="A37" s="18" t="str">
        <f aca="false">IF(B37="","",ROW()-6)</f>
        <v/>
      </c>
      <c r="B37" s="20"/>
      <c r="C37" s="19"/>
      <c r="D37" s="19"/>
      <c r="E37" s="19"/>
      <c r="F37" s="19"/>
      <c r="G37" s="19"/>
      <c r="H37" s="19"/>
      <c r="I37" s="19"/>
    </row>
    <row r="38" customFormat="false" ht="15" hidden="false" customHeight="false" outlineLevel="0" collapsed="false">
      <c r="A38" s="18" t="str">
        <f aca="false">IF(B38="","",ROW()-6)</f>
        <v/>
      </c>
      <c r="B38" s="20"/>
      <c r="C38" s="19"/>
      <c r="D38" s="19"/>
      <c r="E38" s="19"/>
      <c r="F38" s="19"/>
      <c r="G38" s="19"/>
      <c r="H38" s="19"/>
      <c r="I38" s="19"/>
    </row>
    <row r="39" customFormat="false" ht="15" hidden="false" customHeight="false" outlineLevel="0" collapsed="false">
      <c r="A39" s="18" t="str">
        <f aca="false">IF(B39="","",ROW()-6)</f>
        <v/>
      </c>
      <c r="B39" s="20"/>
      <c r="C39" s="19"/>
      <c r="D39" s="19"/>
      <c r="E39" s="19"/>
      <c r="F39" s="19"/>
      <c r="G39" s="19"/>
      <c r="H39" s="19"/>
      <c r="I39" s="19"/>
    </row>
    <row r="40" customFormat="false" ht="15" hidden="false" customHeight="false" outlineLevel="0" collapsed="false">
      <c r="A40" s="18" t="str">
        <f aca="false">IF(B40="","",ROW()-6)</f>
        <v/>
      </c>
      <c r="B40" s="20"/>
      <c r="C40" s="19"/>
      <c r="D40" s="19"/>
      <c r="E40" s="19"/>
      <c r="F40" s="19"/>
      <c r="G40" s="19"/>
      <c r="H40" s="19"/>
      <c r="I40" s="19"/>
    </row>
    <row r="41" customFormat="false" ht="15" hidden="false" customHeight="false" outlineLevel="0" collapsed="false">
      <c r="A41" s="18" t="str">
        <f aca="false">IF(B41="","",ROW()-6)</f>
        <v/>
      </c>
      <c r="B41" s="20"/>
      <c r="C41" s="19"/>
      <c r="D41" s="19"/>
      <c r="E41" s="19"/>
      <c r="F41" s="19"/>
      <c r="G41" s="19"/>
      <c r="H41" s="19"/>
      <c r="I41" s="19"/>
    </row>
    <row r="42" customFormat="false" ht="15" hidden="false" customHeight="false" outlineLevel="0" collapsed="false">
      <c r="A42" s="18" t="str">
        <f aca="false">IF(B42="","",ROW()-6)</f>
        <v/>
      </c>
      <c r="B42" s="20"/>
      <c r="C42" s="19"/>
      <c r="D42" s="19"/>
      <c r="E42" s="19"/>
      <c r="F42" s="19"/>
      <c r="G42" s="19"/>
      <c r="H42" s="19"/>
      <c r="I42" s="19"/>
    </row>
    <row r="43" customFormat="false" ht="15" hidden="false" customHeight="false" outlineLevel="0" collapsed="false">
      <c r="A43" s="18" t="str">
        <f aca="false">IF(B43="","",ROW()-6)</f>
        <v/>
      </c>
      <c r="B43" s="20"/>
      <c r="C43" s="19"/>
      <c r="D43" s="19"/>
      <c r="E43" s="19"/>
      <c r="F43" s="19"/>
      <c r="G43" s="19"/>
      <c r="H43" s="19"/>
      <c r="I43" s="19"/>
    </row>
    <row r="44" customFormat="false" ht="15" hidden="false" customHeight="false" outlineLevel="0" collapsed="false">
      <c r="A44" s="18" t="str">
        <f aca="false">IF(B44="","",ROW()-6)</f>
        <v/>
      </c>
      <c r="B44" s="20"/>
      <c r="C44" s="19"/>
      <c r="D44" s="19"/>
      <c r="E44" s="19"/>
      <c r="F44" s="19"/>
      <c r="G44" s="19"/>
      <c r="H44" s="19"/>
      <c r="I44" s="19"/>
    </row>
    <row r="45" customFormat="false" ht="15" hidden="false" customHeight="false" outlineLevel="0" collapsed="false">
      <c r="A45" s="18" t="str">
        <f aca="false">IF(B45="","",ROW()-6)</f>
        <v/>
      </c>
      <c r="B45" s="20"/>
      <c r="C45" s="19"/>
      <c r="D45" s="19"/>
      <c r="E45" s="19"/>
      <c r="F45" s="19"/>
      <c r="G45" s="19"/>
      <c r="H45" s="19"/>
      <c r="I45" s="19"/>
    </row>
    <row r="46" customFormat="false" ht="15" hidden="false" customHeight="false" outlineLevel="0" collapsed="false">
      <c r="A46" s="18" t="str">
        <f aca="false">IF(B46="","",ROW()-6)</f>
        <v/>
      </c>
      <c r="B46" s="20"/>
      <c r="C46" s="19"/>
      <c r="D46" s="19"/>
      <c r="E46" s="19"/>
      <c r="F46" s="19"/>
      <c r="G46" s="19"/>
      <c r="H46" s="19"/>
      <c r="I46" s="19"/>
    </row>
  </sheetData>
  <dataValidations count="2">
    <dataValidation allowBlank="true" errorStyle="stop" operator="between" showDropDown="false" showErrorMessage="false" showInputMessage="false" sqref="C7:C46" type="list">
      <formula1>Settings!$E$15:$E$34</formula1>
      <formula2>0</formula2>
    </dataValidation>
    <dataValidation allowBlank="true" errorStyle="stop" operator="between" showDropDown="false" showErrorMessage="false" showInputMessage="false" sqref="D7:D46" type="list">
      <formula1>Settings!$F$15:$F$34</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&amp;LMWSPL-F-PROD-01 rev 00&amp;RPage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0"/>
    <col collapsed="false" customWidth="true" hidden="false" outlineLevel="0" max="4" min="4" style="0" width="9"/>
    <col collapsed="false" customWidth="true" hidden="false" outlineLevel="0" max="5" min="5" style="0" width="8"/>
    <col collapsed="false" customWidth="true" hidden="false" outlineLevel="0" max="6" min="6" style="0" width="7"/>
    <col collapsed="false" customWidth="true" hidden="false" outlineLevel="0" max="7" min="7" style="0" width="9"/>
    <col collapsed="false" customWidth="true" hidden="false" outlineLevel="0" max="8" min="8" style="0" width="10"/>
    <col collapsed="false" customWidth="true" hidden="false" outlineLevel="0" max="9" min="9" style="0" width="11"/>
    <col collapsed="false" customWidth="true" hidden="false" outlineLevel="0" max="11" min="10" style="0" width="14"/>
    <col collapsed="false" customWidth="true" hidden="false" outlineLevel="0" max="12" min="12" style="0" width="15"/>
    <col collapsed="false" customWidth="true" hidden="false" outlineLevel="0" max="15" min="13" style="0" width="9"/>
    <col collapsed="false" customWidth="true" hidden="false" outlineLevel="0" max="16" min="16" style="0" width="30"/>
    <col collapsed="false" customWidth="true" hidden="false" outlineLevel="0" max="17" min="17" style="0" width="26"/>
  </cols>
  <sheetData>
    <row r="1" customFormat="false" ht="15" hidden="false" customHeight="false" outlineLevel="0" collapsed="false">
      <c r="A1" s="1" t="s">
        <v>0</v>
      </c>
    </row>
    <row r="2" customFormat="false" ht="17.35" hidden="false" customHeight="false" outlineLevel="0" collapsed="false">
      <c r="A2" s="2" t="s">
        <v>141</v>
      </c>
    </row>
    <row r="3" customFormat="false" ht="15" hidden="false" customHeight="false" outlineLevel="0" collapsed="false">
      <c r="A3" s="3" t="s">
        <v>142</v>
      </c>
    </row>
    <row r="6" customFormat="false" ht="42" hidden="false" customHeight="true" outlineLevel="0" collapsed="false">
      <c r="A6" s="17" t="s">
        <v>143</v>
      </c>
      <c r="B6" s="17" t="s">
        <v>144</v>
      </c>
      <c r="C6" s="17" t="s">
        <v>145</v>
      </c>
      <c r="D6" s="17" t="s">
        <v>146</v>
      </c>
      <c r="E6" s="17" t="s">
        <v>82</v>
      </c>
      <c r="F6" s="17" t="s">
        <v>147</v>
      </c>
      <c r="G6" s="17" t="s">
        <v>148</v>
      </c>
      <c r="H6" s="17" t="s">
        <v>149</v>
      </c>
      <c r="I6" s="17" t="s">
        <v>150</v>
      </c>
      <c r="J6" s="17" t="s">
        <v>151</v>
      </c>
      <c r="K6" s="17" t="s">
        <v>152</v>
      </c>
      <c r="L6" s="17" t="s">
        <v>153</v>
      </c>
      <c r="M6" s="17" t="s">
        <v>154</v>
      </c>
      <c r="N6" s="17" t="s">
        <v>155</v>
      </c>
      <c r="O6" s="17" t="s">
        <v>156</v>
      </c>
      <c r="P6" s="17" t="s">
        <v>157</v>
      </c>
      <c r="Q6" s="17" t="s">
        <v>93</v>
      </c>
    </row>
    <row r="7" customFormat="false" ht="15" hidden="false" customHeight="false" outlineLevel="0" collapsed="false">
      <c r="A7" s="19" t="s">
        <v>96</v>
      </c>
      <c r="B7" s="19" t="s">
        <v>97</v>
      </c>
      <c r="C7" s="19" t="s">
        <v>98</v>
      </c>
      <c r="D7" s="19"/>
      <c r="E7" s="18" t="str">
        <f aca="false">IF(A7="","",IFERROR(INDEX(Parts!$C$6:$C$45,MATCH(A7,Parts!$A$6:$A$45,0)),""))</f>
        <v>HT</v>
      </c>
      <c r="F7" s="18" t="n">
        <f aca="false">IF(A7="","",COUNTIFS('Tray log'!$F$7:$F$306,$A7,'Tray log'!$G$7:$G$306,$B7,'Tray log'!$H$7:$H$306,$C7,'Tray log'!$S$7:$S$306,IF($D7="Y","?*",""))+COUNTIFS('Tray log'!$K$7:$K$306,$A7,'Tray log'!$L$7:$L$306,$B7,'Tray log'!$M$7:$M$306,$C7,'Tray log'!$S$7:$S$306,IF($D7="Y","?*","")))</f>
        <v>14</v>
      </c>
      <c r="G7" s="18" t="n">
        <f aca="false">IF(A7="","",SUMIFS('Tray log'!$J$7:$J$306,'Tray log'!$F$7:$F$306,$A7,'Tray log'!$G$7:$G$306,$B7,'Tray log'!$H$7:$H$306,$C7,'Tray log'!$S$7:$S$306,IF($D7="Y","?*",""))+SUMIFS('Tray log'!$N$7:$N$306,'Tray log'!$K$7:$K$306,$A7,'Tray log'!$L$7:$L$306,$B7,'Tray log'!$M$7:$M$306,$C7,'Tray log'!$S$7:$S$306,IF($D7="Y","?*","")))</f>
        <v>840</v>
      </c>
      <c r="H7" s="24" t="n">
        <f aca="false">IF(A7="","",G7*IFERROR(INDEX(Parts!$F$6:$F$45,MATCH(A7,Parts!$A$6:$A$45,0)),0))</f>
        <v>1512</v>
      </c>
      <c r="I7" s="18" t="n">
        <f aca="false">IF(A7="","",SUMIFS('Tray log'!$J$7:$J$306,'Tray log'!$F$7:$F$306,$A7,'Tray log'!$G$7:$G$306,$B7,'Tray log'!$H$7:$H$306,$C7,'Tray log'!$S$7:$S$306,IF($D7="Y","?*",""),'Tray log'!$Y$7:$Y$306,Report!$B$7)+SUMIFS('Tray log'!$N$7:$N$306,'Tray log'!$K$7:$K$306,$A7,'Tray log'!$L$7:$L$306,$B7,'Tray log'!$M$7:$M$306,$C7,'Tray log'!$S$7:$S$306,IF($D7="Y","?*",""),'Tray log'!$Y$7:$Y$306,Report!$B$7))</f>
        <v>840</v>
      </c>
      <c r="J7" s="22" t="n">
        <f aca="false">IF(OR(A7="",COUNTIFS('Tray log'!$F$7:$F$306,$A7,'Tray log'!$G$7:$G$306,$B7,'Tray log'!$H$7:$H$306,$C7,'Tray log'!$S$7:$S$306,IF($D7="Y","?*",""))=0),"",_xlfn.MINIFS('Tray log'!$E$7:$E$306,'Tray log'!$F$7:$F$306,$A7,'Tray log'!$G$7:$G$306,$B7,'Tray log'!$H$7:$H$306,$C7,'Tray log'!$S$7:$S$306,IF($D7="Y","?*","")))</f>
        <v>46320.25</v>
      </c>
      <c r="K7" s="22" t="n">
        <f aca="false">IF(OR(A7="",COUNTIFS('Tray log'!$F$7:$F$306,$A7,'Tray log'!$G$7:$G$306,$B7,'Tray log'!$H$7:$H$306,$C7,'Tray log'!$S$7:$S$306,IF($D7="Y","?*",""))=0),"",_xlfn.MAXIFS('Tray log'!$W$7:$W$306,'Tray log'!$F$7:$F$306,$A7,'Tray log'!$G$7:$G$306,$B7,'Tray log'!$H$7:$H$306,$C7,'Tray log'!$S$7:$S$306,IF($D7="Y","?*","")))</f>
        <v>46320.5479166667</v>
      </c>
      <c r="L7" s="20" t="n">
        <v>46320.55</v>
      </c>
      <c r="M7" s="18" t="n">
        <f aca="false">IF(OR(L7="",K7=""),"",ROUND((L7-K7)*1440,0))</f>
        <v>3</v>
      </c>
      <c r="N7" s="27" t="n">
        <v>1490</v>
      </c>
      <c r="O7" s="28" t="n">
        <f aca="false">IF(OR(N7="",N(H7)=0),"",N7/H7-1)</f>
        <v>-0.0145502645502645</v>
      </c>
      <c r="P7" s="18" t="str">
        <f aca="false">IF(A7="","",IF(F7=0,"no tray in the log; ","")&amp;IF(E7="","part not on the Parts sheet; ","")&amp;IF(OR(B7="",C7=""),"batch / heat missing (type N/A if not available); ","")&amp;IF(M7="","",IF(ABS(M7)&gt;Settings!$B$11,"exit differs from the calculated time; ",""))&amp;IF(AND(L7&lt;&gt;"",L7&lt;J7),"actual exit before the entry; ",""))</f>
        <v/>
      </c>
      <c r="Q7" s="19" t="s">
        <v>100</v>
      </c>
    </row>
    <row r="8" customFormat="false" ht="15" hidden="false" customHeight="false" outlineLevel="0" collapsed="false">
      <c r="A8" s="19" t="s">
        <v>103</v>
      </c>
      <c r="B8" s="19" t="s">
        <v>104</v>
      </c>
      <c r="C8" s="19" t="s">
        <v>105</v>
      </c>
      <c r="D8" s="19"/>
      <c r="E8" s="18" t="str">
        <f aca="false">IF(A8="","",IFERROR(INDEX(Parts!$C$6:$C$45,MATCH(A8,Parts!$A$6:$A$45,0)),""))</f>
        <v>NORM</v>
      </c>
      <c r="F8" s="18" t="n">
        <f aca="false">IF(A8="","",COUNTIFS('Tray log'!$F$7:$F$306,$A8,'Tray log'!$G$7:$G$306,$B8,'Tray log'!$H$7:$H$306,$C8,'Tray log'!$S$7:$S$306,IF($D8="Y","?*",""))+COUNTIFS('Tray log'!$K$7:$K$306,$A8,'Tray log'!$L$7:$L$306,$B8,'Tray log'!$M$7:$M$306,$C8,'Tray log'!$S$7:$S$306,IF($D8="Y","?*","")))</f>
        <v>9</v>
      </c>
      <c r="G8" s="18" t="n">
        <f aca="false">IF(A8="","",SUMIFS('Tray log'!$J$7:$J$306,'Tray log'!$F$7:$F$306,$A8,'Tray log'!$G$7:$G$306,$B8,'Tray log'!$H$7:$H$306,$C8,'Tray log'!$S$7:$S$306,IF($D8="Y","?*",""))+SUMIFS('Tray log'!$N$7:$N$306,'Tray log'!$K$7:$K$306,$A8,'Tray log'!$L$7:$L$306,$B8,'Tray log'!$M$7:$M$306,$C8,'Tray log'!$S$7:$S$306,IF($D8="Y","?*","")))</f>
        <v>252</v>
      </c>
      <c r="H8" s="24" t="n">
        <f aca="false">IF(A8="","",G8*IFERROR(INDEX(Parts!$F$6:$F$45,MATCH(A8,Parts!$A$6:$A$45,0)),0))</f>
        <v>554.4</v>
      </c>
      <c r="I8" s="18" t="n">
        <f aca="false">IF(A8="","",SUMIFS('Tray log'!$J$7:$J$306,'Tray log'!$F$7:$F$306,$A8,'Tray log'!$G$7:$G$306,$B8,'Tray log'!$H$7:$H$306,$C8,'Tray log'!$S$7:$S$306,IF($D8="Y","?*",""),'Tray log'!$Y$7:$Y$306,Report!$B$7)+SUMIFS('Tray log'!$N$7:$N$306,'Tray log'!$K$7:$K$306,$A8,'Tray log'!$L$7:$L$306,$B8,'Tray log'!$M$7:$M$306,$C8,'Tray log'!$S$7:$S$306,IF($D8="Y","?*",""),'Tray log'!$Y$7:$Y$306,Report!$B$7))</f>
        <v>252</v>
      </c>
      <c r="J8" s="22" t="n">
        <f aca="false">IF(OR(A8="",COUNTIFS('Tray log'!$F$7:$F$306,$A8,'Tray log'!$G$7:$G$306,$B8,'Tray log'!$H$7:$H$306,$C8,'Tray log'!$S$7:$S$306,IF($D8="Y","?*",""))=0),"",_xlfn.MINIFS('Tray log'!$E$7:$E$306,'Tray log'!$F$7:$F$306,$A8,'Tray log'!$G$7:$G$306,$B8,'Tray log'!$H$7:$H$306,$C8,'Tray log'!$S$7:$S$306,IF($D8="Y","?*","")))</f>
        <v>46320.3479166667</v>
      </c>
      <c r="K8" s="22" t="n">
        <f aca="false">IF(OR(A8="",COUNTIFS('Tray log'!$F$7:$F$306,$A8,'Tray log'!$G$7:$G$306,$B8,'Tray log'!$H$7:$H$306,$C8,'Tray log'!$S$7:$S$306,IF($D8="Y","?*",""))=0),"",_xlfn.MAXIFS('Tray log'!$W$7:$W$306,'Tray log'!$F$7:$F$306,$A8,'Tray log'!$G$7:$G$306,$B8,'Tray log'!$H$7:$H$306,$C8,'Tray log'!$S$7:$S$306,IF($D8="Y","?*","")))</f>
        <v>46320.6173611111</v>
      </c>
      <c r="L8" s="20"/>
      <c r="M8" s="18" t="str">
        <f aca="false">IF(OR(L8="",K8=""),"",ROUND((L8-K8)*1440,0))</f>
        <v/>
      </c>
      <c r="N8" s="27"/>
      <c r="O8" s="28" t="str">
        <f aca="false">IF(OR(N8="",N(H8)=0),"",N8/H8-1)</f>
        <v/>
      </c>
      <c r="P8" s="18" t="str">
        <f aca="false">IF(A8="","",IF(F8=0,"no tray in the log; ","")&amp;IF(E8="","part not on the Parts sheet; ","")&amp;IF(OR(B8="",C8=""),"batch / heat missing (type N/A if not available); ","")&amp;IF(M8="","",IF(ABS(M8)&gt;Settings!$B$11,"exit differs from the calculated time; ",""))&amp;IF(AND(L8&lt;&gt;"",L8&lt;J8),"actual exit before the entry; ",""))</f>
        <v/>
      </c>
      <c r="Q8" s="19"/>
    </row>
    <row r="9" customFormat="false" ht="15" hidden="false" customHeight="false" outlineLevel="0" collapsed="false">
      <c r="A9" s="19" t="s">
        <v>103</v>
      </c>
      <c r="B9" s="19" t="s">
        <v>107</v>
      </c>
      <c r="C9" s="19" t="s">
        <v>108</v>
      </c>
      <c r="D9" s="19"/>
      <c r="E9" s="18" t="str">
        <f aca="false">IF(A9="","",IFERROR(INDEX(Parts!$C$6:$C$45,MATCH(A9,Parts!$A$6:$A$45,0)),""))</f>
        <v>NORM</v>
      </c>
      <c r="F9" s="18" t="n">
        <f aca="false">IF(A9="","",COUNTIFS('Tray log'!$F$7:$F$306,$A9,'Tray log'!$G$7:$G$306,$B9,'Tray log'!$H$7:$H$306,$C9,'Tray log'!$S$7:$S$306,IF($D9="Y","?*",""))+COUNTIFS('Tray log'!$K$7:$K$306,$A9,'Tray log'!$L$7:$L$306,$B9,'Tray log'!$M$7:$M$306,$C9,'Tray log'!$S$7:$S$306,IF($D9="Y","?*","")))</f>
        <v>1</v>
      </c>
      <c r="G9" s="18" t="n">
        <f aca="false">IF(A9="","",SUMIFS('Tray log'!$J$7:$J$306,'Tray log'!$F$7:$F$306,$A9,'Tray log'!$G$7:$G$306,$B9,'Tray log'!$H$7:$H$306,$C9,'Tray log'!$S$7:$S$306,IF($D9="Y","?*",""))+SUMIFS('Tray log'!$N$7:$N$306,'Tray log'!$K$7:$K$306,$A9,'Tray log'!$L$7:$L$306,$B9,'Tray log'!$M$7:$M$306,$C9,'Tray log'!$S$7:$S$306,IF($D9="Y","?*","")))</f>
        <v>15</v>
      </c>
      <c r="H9" s="24" t="n">
        <f aca="false">IF(A9="","",G9*IFERROR(INDEX(Parts!$F$6:$F$45,MATCH(A9,Parts!$A$6:$A$45,0)),0))</f>
        <v>33</v>
      </c>
      <c r="I9" s="18" t="n">
        <f aca="false">IF(A9="","",SUMIFS('Tray log'!$J$7:$J$306,'Tray log'!$F$7:$F$306,$A9,'Tray log'!$G$7:$G$306,$B9,'Tray log'!$H$7:$H$306,$C9,'Tray log'!$S$7:$S$306,IF($D9="Y","?*",""),'Tray log'!$Y$7:$Y$306,Report!$B$7)+SUMIFS('Tray log'!$N$7:$N$306,'Tray log'!$K$7:$K$306,$A9,'Tray log'!$L$7:$L$306,$B9,'Tray log'!$M$7:$M$306,$C9,'Tray log'!$S$7:$S$306,IF($D9="Y","?*",""),'Tray log'!$Y$7:$Y$306,Report!$B$7))</f>
        <v>15</v>
      </c>
      <c r="J9" s="22" t="str">
        <f aca="false">IF(OR(A9="",COUNTIFS('Tray log'!$F$7:$F$306,$A9,'Tray log'!$G$7:$G$306,$B9,'Tray log'!$H$7:$H$306,$C9,'Tray log'!$S$7:$S$306,IF($D9="Y","?*",""))=0),"",_xlfn.MINIFS('Tray log'!$E$7:$E$306,'Tray log'!$F$7:$F$306,$A9,'Tray log'!$G$7:$G$306,$B9,'Tray log'!$H$7:$H$306,$C9,'Tray log'!$S$7:$S$306,IF($D9="Y","?*","")))</f>
        <v/>
      </c>
      <c r="K9" s="22" t="str">
        <f aca="false">IF(OR(A9="",COUNTIFS('Tray log'!$F$7:$F$306,$A9,'Tray log'!$G$7:$G$306,$B9,'Tray log'!$H$7:$H$306,$C9,'Tray log'!$S$7:$S$306,IF($D9="Y","?*",""))=0),"",_xlfn.MAXIFS('Tray log'!$W$7:$W$306,'Tray log'!$F$7:$F$306,$A9,'Tray log'!$G$7:$G$306,$B9,'Tray log'!$H$7:$H$306,$C9,'Tray log'!$S$7:$S$306,IF($D9="Y","?*","")))</f>
        <v/>
      </c>
      <c r="L9" s="20"/>
      <c r="M9" s="18" t="str">
        <f aca="false">IF(OR(L9="",K9=""),"",ROUND((L9-K9)*1440,0))</f>
        <v/>
      </c>
      <c r="N9" s="27"/>
      <c r="O9" s="28" t="str">
        <f aca="false">IF(OR(N9="",N(H9)=0),"",N9/H9-1)</f>
        <v/>
      </c>
      <c r="P9" s="18" t="str">
        <f aca="false">IF(A9="","",IF(F9=0,"no tray in the log; ","")&amp;IF(E9="","part not on the Parts sheet; ","")&amp;IF(OR(B9="",C9=""),"batch / heat missing (type N/A if not available); ","")&amp;IF(M9="","",IF(ABS(M9)&gt;Settings!$B$11,"exit differs from the calculated time; ",""))&amp;IF(AND(L9&lt;&gt;"",L9&lt;J9),"actual exit before the entry; ",""))</f>
        <v/>
      </c>
      <c r="Q9" s="19"/>
    </row>
    <row r="10" customFormat="false" ht="15" hidden="false" customHeight="false" outlineLevel="0" collapsed="false">
      <c r="A10" s="19" t="s">
        <v>109</v>
      </c>
      <c r="B10" s="19" t="s">
        <v>110</v>
      </c>
      <c r="C10" s="19" t="s">
        <v>111</v>
      </c>
      <c r="D10" s="19"/>
      <c r="E10" s="18" t="str">
        <f aca="false">IF(A10="","",IFERROR(INDEX(Parts!$C$6:$C$45,MATCH(A10,Parts!$A$6:$A$45,0)),""))</f>
        <v>IA</v>
      </c>
      <c r="F10" s="18" t="n">
        <f aca="false">IF(A10="","",COUNTIFS('Tray log'!$F$7:$F$306,$A10,'Tray log'!$G$7:$G$306,$B10,'Tray log'!$H$7:$H$306,$C10,'Tray log'!$S$7:$S$306,IF($D10="Y","?*",""))+COUNTIFS('Tray log'!$K$7:$K$306,$A10,'Tray log'!$L$7:$L$306,$B10,'Tray log'!$M$7:$M$306,$C10,'Tray log'!$S$7:$S$306,IF($D10="Y","?*","")))</f>
        <v>16</v>
      </c>
      <c r="G10" s="18" t="n">
        <f aca="false">IF(A10="","",SUMIFS('Tray log'!$J$7:$J$306,'Tray log'!$F$7:$F$306,$A10,'Tray log'!$G$7:$G$306,$B10,'Tray log'!$H$7:$H$306,$C10,'Tray log'!$S$7:$S$306,IF($D10="Y","?*",""))+SUMIFS('Tray log'!$N$7:$N$306,'Tray log'!$K$7:$K$306,$A10,'Tray log'!$L$7:$L$306,$B10,'Tray log'!$M$7:$M$306,$C10,'Tray log'!$S$7:$S$306,IF($D10="Y","?*","")))</f>
        <v>384</v>
      </c>
      <c r="H10" s="24" t="n">
        <f aca="false">IF(A10="","",G10*IFERROR(INDEX(Parts!$F$6:$F$45,MATCH(A10,Parts!$A$6:$A$45,0)),0))</f>
        <v>1344</v>
      </c>
      <c r="I10" s="18" t="n">
        <f aca="false">IF(A10="","",SUMIFS('Tray log'!$J$7:$J$306,'Tray log'!$F$7:$F$306,$A10,'Tray log'!$G$7:$G$306,$B10,'Tray log'!$H$7:$H$306,$C10,'Tray log'!$S$7:$S$306,IF($D10="Y","?*",""),'Tray log'!$Y$7:$Y$306,Report!$B$7)+SUMIFS('Tray log'!$N$7:$N$306,'Tray log'!$K$7:$K$306,$A10,'Tray log'!$L$7:$L$306,$B10,'Tray log'!$M$7:$M$306,$C10,'Tray log'!$S$7:$S$306,IF($D10="Y","?*",""),'Tray log'!$Y$7:$Y$306,Report!$B$7))</f>
        <v>384</v>
      </c>
      <c r="J10" s="22" t="n">
        <f aca="false">IF(OR(A10="",COUNTIFS('Tray log'!$F$7:$F$306,$A10,'Tray log'!$G$7:$G$306,$B10,'Tray log'!$H$7:$H$306,$C10,'Tray log'!$S$7:$S$306,IF($D10="Y","?*",""))=0),"",_xlfn.MINIFS('Tray log'!$E$7:$E$306,'Tray log'!$F$7:$F$306,$A10,'Tray log'!$G$7:$G$306,$B10,'Tray log'!$H$7:$H$306,$C10,'Tray log'!$S$7:$S$306,IF($D10="Y","?*","")))</f>
        <v>46320.4451388889</v>
      </c>
      <c r="K10" s="22" t="n">
        <f aca="false">IF(OR(A10="",COUNTIFS('Tray log'!$F$7:$F$306,$A10,'Tray log'!$G$7:$G$306,$B10,'Tray log'!$H$7:$H$306,$C10,'Tray log'!$S$7:$S$306,IF($D10="Y","?*",""))=0),"",_xlfn.MAXIFS('Tray log'!$W$7:$W$306,'Tray log'!$F$7:$F$306,$A10,'Tray log'!$G$7:$G$306,$B10,'Tray log'!$H$7:$H$306,$C10,'Tray log'!$S$7:$S$306,IF($D10="Y","?*","")))</f>
        <v>46320.7277777778</v>
      </c>
      <c r="L10" s="20"/>
      <c r="M10" s="18" t="str">
        <f aca="false">IF(OR(L10="",K10=""),"",ROUND((L10-K10)*1440,0))</f>
        <v/>
      </c>
      <c r="N10" s="27"/>
      <c r="O10" s="28" t="str">
        <f aca="false">IF(OR(N10="",N(H10)=0),"",N10/H10-1)</f>
        <v/>
      </c>
      <c r="P10" s="18" t="str">
        <f aca="false">IF(A10="","",IF(F10=0,"no tray in the log; ","")&amp;IF(E10="","part not on the Parts sheet; ","")&amp;IF(OR(B10="",C10=""),"batch / heat missing (type N/A if not available); ","")&amp;IF(M10="","",IF(ABS(M10)&gt;Settings!$B$11,"exit differs from the calculated time; ",""))&amp;IF(AND(L10&lt;&gt;"",L10&lt;J10),"actual exit before the entry; ",""))</f>
        <v/>
      </c>
      <c r="Q10" s="19"/>
    </row>
    <row r="11" customFormat="false" ht="15" hidden="false" customHeight="false" outlineLevel="0" collapsed="false">
      <c r="A11" s="19" t="s">
        <v>96</v>
      </c>
      <c r="B11" s="19" t="s">
        <v>113</v>
      </c>
      <c r="C11" s="19" t="s">
        <v>98</v>
      </c>
      <c r="D11" s="19" t="s">
        <v>158</v>
      </c>
      <c r="E11" s="18" t="str">
        <f aca="false">IF(A11="","",IFERROR(INDEX(Parts!$C$6:$C$45,MATCH(A11,Parts!$A$6:$A$45,0)),""))</f>
        <v>HT</v>
      </c>
      <c r="F11" s="18" t="n">
        <f aca="false">IF(A11="","",COUNTIFS('Tray log'!$F$7:$F$306,$A11,'Tray log'!$G$7:$G$306,$B11,'Tray log'!$H$7:$H$306,$C11,'Tray log'!$S$7:$S$306,IF($D11="Y","?*",""))+COUNTIFS('Tray log'!$K$7:$K$306,$A11,'Tray log'!$L$7:$L$306,$B11,'Tray log'!$M$7:$M$306,$C11,'Tray log'!$S$7:$S$306,IF($D11="Y","?*","")))</f>
        <v>4</v>
      </c>
      <c r="G11" s="18" t="n">
        <f aca="false">IF(A11="","",SUMIFS('Tray log'!$J$7:$J$306,'Tray log'!$F$7:$F$306,$A11,'Tray log'!$G$7:$G$306,$B11,'Tray log'!$H$7:$H$306,$C11,'Tray log'!$S$7:$S$306,IF($D11="Y","?*",""))+SUMIFS('Tray log'!$N$7:$N$306,'Tray log'!$K$7:$K$306,$A11,'Tray log'!$L$7:$L$306,$B11,'Tray log'!$M$7:$M$306,$C11,'Tray log'!$S$7:$S$306,IF($D11="Y","?*","")))</f>
        <v>240</v>
      </c>
      <c r="H11" s="24" t="n">
        <f aca="false">IF(A11="","",G11*IFERROR(INDEX(Parts!$F$6:$F$45,MATCH(A11,Parts!$A$6:$A$45,0)),0))</f>
        <v>432</v>
      </c>
      <c r="I11" s="18" t="n">
        <f aca="false">IF(A11="","",SUMIFS('Tray log'!$J$7:$J$306,'Tray log'!$F$7:$F$306,$A11,'Tray log'!$G$7:$G$306,$B11,'Tray log'!$H$7:$H$306,$C11,'Tray log'!$S$7:$S$306,IF($D11="Y","?*",""),'Tray log'!$Y$7:$Y$306,Report!$B$7)+SUMIFS('Tray log'!$N$7:$N$306,'Tray log'!$K$7:$K$306,$A11,'Tray log'!$L$7:$L$306,$B11,'Tray log'!$M$7:$M$306,$C11,'Tray log'!$S$7:$S$306,IF($D11="Y","?*",""),'Tray log'!$Y$7:$Y$306,Report!$B$7))</f>
        <v>240</v>
      </c>
      <c r="J11" s="22" t="n">
        <f aca="false">IF(OR(A11="",COUNTIFS('Tray log'!$F$7:$F$306,$A11,'Tray log'!$G$7:$G$306,$B11,'Tray log'!$H$7:$H$306,$C11,'Tray log'!$S$7:$S$306,IF($D11="Y","?*",""))=0),"",_xlfn.MINIFS('Tray log'!$E$7:$E$306,'Tray log'!$F$7:$F$306,$A11,'Tray log'!$G$7:$G$306,$B11,'Tray log'!$H$7:$H$306,$C11,'Tray log'!$S$7:$S$306,IF($D11="Y","?*","")))</f>
        <v>46320.55625</v>
      </c>
      <c r="K11" s="22" t="n">
        <f aca="false">IF(OR(A11="",COUNTIFS('Tray log'!$F$7:$F$306,$A11,'Tray log'!$G$7:$G$306,$B11,'Tray log'!$H$7:$H$306,$C11,'Tray log'!$S$7:$S$306,IF($D11="Y","?*",""))=0),"",_xlfn.MAXIFS('Tray log'!$W$7:$W$306,'Tray log'!$F$7:$F$306,$A11,'Tray log'!$G$7:$G$306,$B11,'Tray log'!$H$7:$H$306,$C11,'Tray log'!$S$7:$S$306,IF($D11="Y","?*","")))</f>
        <v>46320.7631944444</v>
      </c>
      <c r="L11" s="20"/>
      <c r="M11" s="18" t="str">
        <f aca="false">IF(OR(L11="",K11=""),"",ROUND((L11-K11)*1440,0))</f>
        <v/>
      </c>
      <c r="N11" s="27"/>
      <c r="O11" s="28" t="str">
        <f aca="false">IF(OR(N11="",N(H11)=0),"",N11/H11-1)</f>
        <v/>
      </c>
      <c r="P11" s="18" t="str">
        <f aca="false">IF(A11="","",IF(F11=0,"no tray in the log; ","")&amp;IF(E11="","part not on the Parts sheet; ","")&amp;IF(OR(B11="",C11=""),"batch / heat missing (type N/A if not available); ","")&amp;IF(M11="","",IF(ABS(M11)&gt;Settings!$B$11,"exit differs from the calculated time; ",""))&amp;IF(AND(L11&lt;&gt;"",L11&lt;J11),"actual exit before the entry; ",""))</f>
        <v/>
      </c>
      <c r="Q11" s="19"/>
    </row>
    <row r="12" customFormat="false" ht="15" hidden="false" customHeight="false" outlineLevel="0" collapsed="false">
      <c r="A12" s="19"/>
      <c r="B12" s="19"/>
      <c r="C12" s="19"/>
      <c r="D12" s="19"/>
      <c r="E12" s="18" t="str">
        <f aca="false">IF(A12="","",IFERROR(INDEX(Parts!$C$6:$C$45,MATCH(A12,Parts!$A$6:$A$45,0)),""))</f>
        <v/>
      </c>
      <c r="F12" s="18" t="str">
        <f aca="false">IF(A12="","",COUNTIFS('Tray log'!$F$7:$F$306,$A12,'Tray log'!$G$7:$G$306,$B12,'Tray log'!$H$7:$H$306,$C12,'Tray log'!$S$7:$S$306,IF($D12="Y","?*",""))+COUNTIFS('Tray log'!$K$7:$K$306,$A12,'Tray log'!$L$7:$L$306,$B12,'Tray log'!$M$7:$M$306,$C12,'Tray log'!$S$7:$S$306,IF($D12="Y","?*","")))</f>
        <v/>
      </c>
      <c r="G12" s="18" t="str">
        <f aca="false">IF(A12="","",SUMIFS('Tray log'!$J$7:$J$306,'Tray log'!$F$7:$F$306,$A12,'Tray log'!$G$7:$G$306,$B12,'Tray log'!$H$7:$H$306,$C12,'Tray log'!$S$7:$S$306,IF($D12="Y","?*",""))+SUMIFS('Tray log'!$N$7:$N$306,'Tray log'!$K$7:$K$306,$A12,'Tray log'!$L$7:$L$306,$B12,'Tray log'!$M$7:$M$306,$C12,'Tray log'!$S$7:$S$306,IF($D12="Y","?*","")))</f>
        <v/>
      </c>
      <c r="H12" s="24" t="str">
        <f aca="false">IF(A12="","",G12*IFERROR(INDEX(Parts!$F$6:$F$45,MATCH(A12,Parts!$A$6:$A$45,0)),0))</f>
        <v/>
      </c>
      <c r="I12" s="18" t="str">
        <f aca="false">IF(A12="","",SUMIFS('Tray log'!$J$7:$J$306,'Tray log'!$F$7:$F$306,$A12,'Tray log'!$G$7:$G$306,$B12,'Tray log'!$H$7:$H$306,$C12,'Tray log'!$S$7:$S$306,IF($D12="Y","?*",""),'Tray log'!$Y$7:$Y$306,Report!$B$7)+SUMIFS('Tray log'!$N$7:$N$306,'Tray log'!$K$7:$K$306,$A12,'Tray log'!$L$7:$L$306,$B12,'Tray log'!$M$7:$M$306,$C12,'Tray log'!$S$7:$S$306,IF($D12="Y","?*",""),'Tray log'!$Y$7:$Y$306,Report!$B$7))</f>
        <v/>
      </c>
      <c r="J12" s="22" t="str">
        <f aca="false">IF(OR(A12="",COUNTIFS('Tray log'!$F$7:$F$306,$A12,'Tray log'!$G$7:$G$306,$B12,'Tray log'!$H$7:$H$306,$C12,'Tray log'!$S$7:$S$306,IF($D12="Y","?*",""))=0),"",_xlfn.MINIFS('Tray log'!$E$7:$E$306,'Tray log'!$F$7:$F$306,$A12,'Tray log'!$G$7:$G$306,$B12,'Tray log'!$H$7:$H$306,$C12,'Tray log'!$S$7:$S$306,IF($D12="Y","?*","")))</f>
        <v/>
      </c>
      <c r="K12" s="22" t="str">
        <f aca="false">IF(OR(A12="",COUNTIFS('Tray log'!$F$7:$F$306,$A12,'Tray log'!$G$7:$G$306,$B12,'Tray log'!$H$7:$H$306,$C12,'Tray log'!$S$7:$S$306,IF($D12="Y","?*",""))=0),"",_xlfn.MAXIFS('Tray log'!$W$7:$W$306,'Tray log'!$F$7:$F$306,$A12,'Tray log'!$G$7:$G$306,$B12,'Tray log'!$H$7:$H$306,$C12,'Tray log'!$S$7:$S$306,IF($D12="Y","?*","")))</f>
        <v/>
      </c>
      <c r="L12" s="20"/>
      <c r="M12" s="18" t="str">
        <f aca="false">IF(OR(L12="",K12=""),"",ROUND((L12-K12)*1440,0))</f>
        <v/>
      </c>
      <c r="N12" s="27"/>
      <c r="O12" s="28" t="str">
        <f aca="false">IF(OR(N12="",N(H12)=0),"",N12/H12-1)</f>
        <v/>
      </c>
      <c r="P12" s="18" t="str">
        <f aca="false">IF(A12="","",IF(F12=0,"no tray in the log; ","")&amp;IF(E12="","part not on the Parts sheet; ","")&amp;IF(OR(B12="",C12=""),"batch / heat missing (type N/A if not available); ","")&amp;IF(M12="","",IF(ABS(M12)&gt;Settings!$B$11,"exit differs from the calculated time; ",""))&amp;IF(AND(L12&lt;&gt;"",L12&lt;J12),"actual exit before the entry; ",""))</f>
        <v/>
      </c>
      <c r="Q12" s="19"/>
    </row>
    <row r="13" customFormat="false" ht="15" hidden="false" customHeight="false" outlineLevel="0" collapsed="false">
      <c r="A13" s="19"/>
      <c r="B13" s="19"/>
      <c r="C13" s="19"/>
      <c r="D13" s="19"/>
      <c r="E13" s="18" t="str">
        <f aca="false">IF(A13="","",IFERROR(INDEX(Parts!$C$6:$C$45,MATCH(A13,Parts!$A$6:$A$45,0)),""))</f>
        <v/>
      </c>
      <c r="F13" s="18" t="str">
        <f aca="false">IF(A13="","",COUNTIFS('Tray log'!$F$7:$F$306,$A13,'Tray log'!$G$7:$G$306,$B13,'Tray log'!$H$7:$H$306,$C13,'Tray log'!$S$7:$S$306,IF($D13="Y","?*",""))+COUNTIFS('Tray log'!$K$7:$K$306,$A13,'Tray log'!$L$7:$L$306,$B13,'Tray log'!$M$7:$M$306,$C13,'Tray log'!$S$7:$S$306,IF($D13="Y","?*","")))</f>
        <v/>
      </c>
      <c r="G13" s="18" t="str">
        <f aca="false">IF(A13="","",SUMIFS('Tray log'!$J$7:$J$306,'Tray log'!$F$7:$F$306,$A13,'Tray log'!$G$7:$G$306,$B13,'Tray log'!$H$7:$H$306,$C13,'Tray log'!$S$7:$S$306,IF($D13="Y","?*",""))+SUMIFS('Tray log'!$N$7:$N$306,'Tray log'!$K$7:$K$306,$A13,'Tray log'!$L$7:$L$306,$B13,'Tray log'!$M$7:$M$306,$C13,'Tray log'!$S$7:$S$306,IF($D13="Y","?*","")))</f>
        <v/>
      </c>
      <c r="H13" s="24" t="str">
        <f aca="false">IF(A13="","",G13*IFERROR(INDEX(Parts!$F$6:$F$45,MATCH(A13,Parts!$A$6:$A$45,0)),0))</f>
        <v/>
      </c>
      <c r="I13" s="18" t="str">
        <f aca="false">IF(A13="","",SUMIFS('Tray log'!$J$7:$J$306,'Tray log'!$F$7:$F$306,$A13,'Tray log'!$G$7:$G$306,$B13,'Tray log'!$H$7:$H$306,$C13,'Tray log'!$S$7:$S$306,IF($D13="Y","?*",""),'Tray log'!$Y$7:$Y$306,Report!$B$7)+SUMIFS('Tray log'!$N$7:$N$306,'Tray log'!$K$7:$K$306,$A13,'Tray log'!$L$7:$L$306,$B13,'Tray log'!$M$7:$M$306,$C13,'Tray log'!$S$7:$S$306,IF($D13="Y","?*",""),'Tray log'!$Y$7:$Y$306,Report!$B$7))</f>
        <v/>
      </c>
      <c r="J13" s="22" t="str">
        <f aca="false">IF(OR(A13="",COUNTIFS('Tray log'!$F$7:$F$306,$A13,'Tray log'!$G$7:$G$306,$B13,'Tray log'!$H$7:$H$306,$C13,'Tray log'!$S$7:$S$306,IF($D13="Y","?*",""))=0),"",_xlfn.MINIFS('Tray log'!$E$7:$E$306,'Tray log'!$F$7:$F$306,$A13,'Tray log'!$G$7:$G$306,$B13,'Tray log'!$H$7:$H$306,$C13,'Tray log'!$S$7:$S$306,IF($D13="Y","?*","")))</f>
        <v/>
      </c>
      <c r="K13" s="22" t="str">
        <f aca="false">IF(OR(A13="",COUNTIFS('Tray log'!$F$7:$F$306,$A13,'Tray log'!$G$7:$G$306,$B13,'Tray log'!$H$7:$H$306,$C13,'Tray log'!$S$7:$S$306,IF($D13="Y","?*",""))=0),"",_xlfn.MAXIFS('Tray log'!$W$7:$W$306,'Tray log'!$F$7:$F$306,$A13,'Tray log'!$G$7:$G$306,$B13,'Tray log'!$H$7:$H$306,$C13,'Tray log'!$S$7:$S$306,IF($D13="Y","?*","")))</f>
        <v/>
      </c>
      <c r="L13" s="20"/>
      <c r="M13" s="18" t="str">
        <f aca="false">IF(OR(L13="",K13=""),"",ROUND((L13-K13)*1440,0))</f>
        <v/>
      </c>
      <c r="N13" s="27"/>
      <c r="O13" s="28" t="str">
        <f aca="false">IF(OR(N13="",N(H13)=0),"",N13/H13-1)</f>
        <v/>
      </c>
      <c r="P13" s="18" t="str">
        <f aca="false">IF(A13="","",IF(F13=0,"no tray in the log; ","")&amp;IF(E13="","part not on the Parts sheet; ","")&amp;IF(OR(B13="",C13=""),"batch / heat missing (type N/A if not available); ","")&amp;IF(M13="","",IF(ABS(M13)&gt;Settings!$B$11,"exit differs from the calculated time; ",""))&amp;IF(AND(L13&lt;&gt;"",L13&lt;J13),"actual exit before the entry; ",""))</f>
        <v/>
      </c>
      <c r="Q13" s="19"/>
    </row>
    <row r="14" customFormat="false" ht="15" hidden="false" customHeight="false" outlineLevel="0" collapsed="false">
      <c r="A14" s="19"/>
      <c r="B14" s="19"/>
      <c r="C14" s="19"/>
      <c r="D14" s="19"/>
      <c r="E14" s="18" t="str">
        <f aca="false">IF(A14="","",IFERROR(INDEX(Parts!$C$6:$C$45,MATCH(A14,Parts!$A$6:$A$45,0)),""))</f>
        <v/>
      </c>
      <c r="F14" s="18" t="str">
        <f aca="false">IF(A14="","",COUNTIFS('Tray log'!$F$7:$F$306,$A14,'Tray log'!$G$7:$G$306,$B14,'Tray log'!$H$7:$H$306,$C14,'Tray log'!$S$7:$S$306,IF($D14="Y","?*",""))+COUNTIFS('Tray log'!$K$7:$K$306,$A14,'Tray log'!$L$7:$L$306,$B14,'Tray log'!$M$7:$M$306,$C14,'Tray log'!$S$7:$S$306,IF($D14="Y","?*","")))</f>
        <v/>
      </c>
      <c r="G14" s="18" t="str">
        <f aca="false">IF(A14="","",SUMIFS('Tray log'!$J$7:$J$306,'Tray log'!$F$7:$F$306,$A14,'Tray log'!$G$7:$G$306,$B14,'Tray log'!$H$7:$H$306,$C14,'Tray log'!$S$7:$S$306,IF($D14="Y","?*",""))+SUMIFS('Tray log'!$N$7:$N$306,'Tray log'!$K$7:$K$306,$A14,'Tray log'!$L$7:$L$306,$B14,'Tray log'!$M$7:$M$306,$C14,'Tray log'!$S$7:$S$306,IF($D14="Y","?*","")))</f>
        <v/>
      </c>
      <c r="H14" s="24" t="str">
        <f aca="false">IF(A14="","",G14*IFERROR(INDEX(Parts!$F$6:$F$45,MATCH(A14,Parts!$A$6:$A$45,0)),0))</f>
        <v/>
      </c>
      <c r="I14" s="18" t="str">
        <f aca="false">IF(A14="","",SUMIFS('Tray log'!$J$7:$J$306,'Tray log'!$F$7:$F$306,$A14,'Tray log'!$G$7:$G$306,$B14,'Tray log'!$H$7:$H$306,$C14,'Tray log'!$S$7:$S$306,IF($D14="Y","?*",""),'Tray log'!$Y$7:$Y$306,Report!$B$7)+SUMIFS('Tray log'!$N$7:$N$306,'Tray log'!$K$7:$K$306,$A14,'Tray log'!$L$7:$L$306,$B14,'Tray log'!$M$7:$M$306,$C14,'Tray log'!$S$7:$S$306,IF($D14="Y","?*",""),'Tray log'!$Y$7:$Y$306,Report!$B$7))</f>
        <v/>
      </c>
      <c r="J14" s="22" t="str">
        <f aca="false">IF(OR(A14="",COUNTIFS('Tray log'!$F$7:$F$306,$A14,'Tray log'!$G$7:$G$306,$B14,'Tray log'!$H$7:$H$306,$C14,'Tray log'!$S$7:$S$306,IF($D14="Y","?*",""))=0),"",_xlfn.MINIFS('Tray log'!$E$7:$E$306,'Tray log'!$F$7:$F$306,$A14,'Tray log'!$G$7:$G$306,$B14,'Tray log'!$H$7:$H$306,$C14,'Tray log'!$S$7:$S$306,IF($D14="Y","?*","")))</f>
        <v/>
      </c>
      <c r="K14" s="22" t="str">
        <f aca="false">IF(OR(A14="",COUNTIFS('Tray log'!$F$7:$F$306,$A14,'Tray log'!$G$7:$G$306,$B14,'Tray log'!$H$7:$H$306,$C14,'Tray log'!$S$7:$S$306,IF($D14="Y","?*",""))=0),"",_xlfn.MAXIFS('Tray log'!$W$7:$W$306,'Tray log'!$F$7:$F$306,$A14,'Tray log'!$G$7:$G$306,$B14,'Tray log'!$H$7:$H$306,$C14,'Tray log'!$S$7:$S$306,IF($D14="Y","?*","")))</f>
        <v/>
      </c>
      <c r="L14" s="20"/>
      <c r="M14" s="18" t="str">
        <f aca="false">IF(OR(L14="",K14=""),"",ROUND((L14-K14)*1440,0))</f>
        <v/>
      </c>
      <c r="N14" s="27"/>
      <c r="O14" s="28" t="str">
        <f aca="false">IF(OR(N14="",N(H14)=0),"",N14/H14-1)</f>
        <v/>
      </c>
      <c r="P14" s="18" t="str">
        <f aca="false">IF(A14="","",IF(F14=0,"no tray in the log; ","")&amp;IF(E14="","part not on the Parts sheet; ","")&amp;IF(OR(B14="",C14=""),"batch / heat missing (type N/A if not available); ","")&amp;IF(M14="","",IF(ABS(M14)&gt;Settings!$B$11,"exit differs from the calculated time; ",""))&amp;IF(AND(L14&lt;&gt;"",L14&lt;J14),"actual exit before the entry; ",""))</f>
        <v/>
      </c>
      <c r="Q14" s="19"/>
    </row>
    <row r="15" customFormat="false" ht="15" hidden="false" customHeight="false" outlineLevel="0" collapsed="false">
      <c r="A15" s="19"/>
      <c r="B15" s="19"/>
      <c r="C15" s="19"/>
      <c r="D15" s="19"/>
      <c r="E15" s="18" t="str">
        <f aca="false">IF(A15="","",IFERROR(INDEX(Parts!$C$6:$C$45,MATCH(A15,Parts!$A$6:$A$45,0)),""))</f>
        <v/>
      </c>
      <c r="F15" s="18" t="str">
        <f aca="false">IF(A15="","",COUNTIFS('Tray log'!$F$7:$F$306,$A15,'Tray log'!$G$7:$G$306,$B15,'Tray log'!$H$7:$H$306,$C15,'Tray log'!$S$7:$S$306,IF($D15="Y","?*",""))+COUNTIFS('Tray log'!$K$7:$K$306,$A15,'Tray log'!$L$7:$L$306,$B15,'Tray log'!$M$7:$M$306,$C15,'Tray log'!$S$7:$S$306,IF($D15="Y","?*","")))</f>
        <v/>
      </c>
      <c r="G15" s="18" t="str">
        <f aca="false">IF(A15="","",SUMIFS('Tray log'!$J$7:$J$306,'Tray log'!$F$7:$F$306,$A15,'Tray log'!$G$7:$G$306,$B15,'Tray log'!$H$7:$H$306,$C15,'Tray log'!$S$7:$S$306,IF($D15="Y","?*",""))+SUMIFS('Tray log'!$N$7:$N$306,'Tray log'!$K$7:$K$306,$A15,'Tray log'!$L$7:$L$306,$B15,'Tray log'!$M$7:$M$306,$C15,'Tray log'!$S$7:$S$306,IF($D15="Y","?*","")))</f>
        <v/>
      </c>
      <c r="H15" s="24" t="str">
        <f aca="false">IF(A15="","",G15*IFERROR(INDEX(Parts!$F$6:$F$45,MATCH(A15,Parts!$A$6:$A$45,0)),0))</f>
        <v/>
      </c>
      <c r="I15" s="18" t="str">
        <f aca="false">IF(A15="","",SUMIFS('Tray log'!$J$7:$J$306,'Tray log'!$F$7:$F$306,$A15,'Tray log'!$G$7:$G$306,$B15,'Tray log'!$H$7:$H$306,$C15,'Tray log'!$S$7:$S$306,IF($D15="Y","?*",""),'Tray log'!$Y$7:$Y$306,Report!$B$7)+SUMIFS('Tray log'!$N$7:$N$306,'Tray log'!$K$7:$K$306,$A15,'Tray log'!$L$7:$L$306,$B15,'Tray log'!$M$7:$M$306,$C15,'Tray log'!$S$7:$S$306,IF($D15="Y","?*",""),'Tray log'!$Y$7:$Y$306,Report!$B$7))</f>
        <v/>
      </c>
      <c r="J15" s="22" t="str">
        <f aca="false">IF(OR(A15="",COUNTIFS('Tray log'!$F$7:$F$306,$A15,'Tray log'!$G$7:$G$306,$B15,'Tray log'!$H$7:$H$306,$C15,'Tray log'!$S$7:$S$306,IF($D15="Y","?*",""))=0),"",_xlfn.MINIFS('Tray log'!$E$7:$E$306,'Tray log'!$F$7:$F$306,$A15,'Tray log'!$G$7:$G$306,$B15,'Tray log'!$H$7:$H$306,$C15,'Tray log'!$S$7:$S$306,IF($D15="Y","?*","")))</f>
        <v/>
      </c>
      <c r="K15" s="22" t="str">
        <f aca="false">IF(OR(A15="",COUNTIFS('Tray log'!$F$7:$F$306,$A15,'Tray log'!$G$7:$G$306,$B15,'Tray log'!$H$7:$H$306,$C15,'Tray log'!$S$7:$S$306,IF($D15="Y","?*",""))=0),"",_xlfn.MAXIFS('Tray log'!$W$7:$W$306,'Tray log'!$F$7:$F$306,$A15,'Tray log'!$G$7:$G$306,$B15,'Tray log'!$H$7:$H$306,$C15,'Tray log'!$S$7:$S$306,IF($D15="Y","?*","")))</f>
        <v/>
      </c>
      <c r="L15" s="20"/>
      <c r="M15" s="18" t="str">
        <f aca="false">IF(OR(L15="",K15=""),"",ROUND((L15-K15)*1440,0))</f>
        <v/>
      </c>
      <c r="N15" s="27"/>
      <c r="O15" s="28" t="str">
        <f aca="false">IF(OR(N15="",N(H15)=0),"",N15/H15-1)</f>
        <v/>
      </c>
      <c r="P15" s="18" t="str">
        <f aca="false">IF(A15="","",IF(F15=0,"no tray in the log; ","")&amp;IF(E15="","part not on the Parts sheet; ","")&amp;IF(OR(B15="",C15=""),"batch / heat missing (type N/A if not available); ","")&amp;IF(M15="","",IF(ABS(M15)&gt;Settings!$B$11,"exit differs from the calculated time; ",""))&amp;IF(AND(L15&lt;&gt;"",L15&lt;J15),"actual exit before the entry; ",""))</f>
        <v/>
      </c>
      <c r="Q15" s="19"/>
    </row>
    <row r="16" customFormat="false" ht="15" hidden="false" customHeight="false" outlineLevel="0" collapsed="false">
      <c r="A16" s="19"/>
      <c r="B16" s="19"/>
      <c r="C16" s="19"/>
      <c r="D16" s="19"/>
      <c r="E16" s="18" t="str">
        <f aca="false">IF(A16="","",IFERROR(INDEX(Parts!$C$6:$C$45,MATCH(A16,Parts!$A$6:$A$45,0)),""))</f>
        <v/>
      </c>
      <c r="F16" s="18" t="str">
        <f aca="false">IF(A16="","",COUNTIFS('Tray log'!$F$7:$F$306,$A16,'Tray log'!$G$7:$G$306,$B16,'Tray log'!$H$7:$H$306,$C16,'Tray log'!$S$7:$S$306,IF($D16="Y","?*",""))+COUNTIFS('Tray log'!$K$7:$K$306,$A16,'Tray log'!$L$7:$L$306,$B16,'Tray log'!$M$7:$M$306,$C16,'Tray log'!$S$7:$S$306,IF($D16="Y","?*","")))</f>
        <v/>
      </c>
      <c r="G16" s="18" t="str">
        <f aca="false">IF(A16="","",SUMIFS('Tray log'!$J$7:$J$306,'Tray log'!$F$7:$F$306,$A16,'Tray log'!$G$7:$G$306,$B16,'Tray log'!$H$7:$H$306,$C16,'Tray log'!$S$7:$S$306,IF($D16="Y","?*",""))+SUMIFS('Tray log'!$N$7:$N$306,'Tray log'!$K$7:$K$306,$A16,'Tray log'!$L$7:$L$306,$B16,'Tray log'!$M$7:$M$306,$C16,'Tray log'!$S$7:$S$306,IF($D16="Y","?*","")))</f>
        <v/>
      </c>
      <c r="H16" s="24" t="str">
        <f aca="false">IF(A16="","",G16*IFERROR(INDEX(Parts!$F$6:$F$45,MATCH(A16,Parts!$A$6:$A$45,0)),0))</f>
        <v/>
      </c>
      <c r="I16" s="18" t="str">
        <f aca="false">IF(A16="","",SUMIFS('Tray log'!$J$7:$J$306,'Tray log'!$F$7:$F$306,$A16,'Tray log'!$G$7:$G$306,$B16,'Tray log'!$H$7:$H$306,$C16,'Tray log'!$S$7:$S$306,IF($D16="Y","?*",""),'Tray log'!$Y$7:$Y$306,Report!$B$7)+SUMIFS('Tray log'!$N$7:$N$306,'Tray log'!$K$7:$K$306,$A16,'Tray log'!$L$7:$L$306,$B16,'Tray log'!$M$7:$M$306,$C16,'Tray log'!$S$7:$S$306,IF($D16="Y","?*",""),'Tray log'!$Y$7:$Y$306,Report!$B$7))</f>
        <v/>
      </c>
      <c r="J16" s="22" t="str">
        <f aca="false">IF(OR(A16="",COUNTIFS('Tray log'!$F$7:$F$306,$A16,'Tray log'!$G$7:$G$306,$B16,'Tray log'!$H$7:$H$306,$C16,'Tray log'!$S$7:$S$306,IF($D16="Y","?*",""))=0),"",_xlfn.MINIFS('Tray log'!$E$7:$E$306,'Tray log'!$F$7:$F$306,$A16,'Tray log'!$G$7:$G$306,$B16,'Tray log'!$H$7:$H$306,$C16,'Tray log'!$S$7:$S$306,IF($D16="Y","?*","")))</f>
        <v/>
      </c>
      <c r="K16" s="22" t="str">
        <f aca="false">IF(OR(A16="",COUNTIFS('Tray log'!$F$7:$F$306,$A16,'Tray log'!$G$7:$G$306,$B16,'Tray log'!$H$7:$H$306,$C16,'Tray log'!$S$7:$S$306,IF($D16="Y","?*",""))=0),"",_xlfn.MAXIFS('Tray log'!$W$7:$W$306,'Tray log'!$F$7:$F$306,$A16,'Tray log'!$G$7:$G$306,$B16,'Tray log'!$H$7:$H$306,$C16,'Tray log'!$S$7:$S$306,IF($D16="Y","?*","")))</f>
        <v/>
      </c>
      <c r="L16" s="20"/>
      <c r="M16" s="18" t="str">
        <f aca="false">IF(OR(L16="",K16=""),"",ROUND((L16-K16)*1440,0))</f>
        <v/>
      </c>
      <c r="N16" s="27"/>
      <c r="O16" s="28" t="str">
        <f aca="false">IF(OR(N16="",N(H16)=0),"",N16/H16-1)</f>
        <v/>
      </c>
      <c r="P16" s="18" t="str">
        <f aca="false">IF(A16="","",IF(F16=0,"no tray in the log; ","")&amp;IF(E16="","part not on the Parts sheet; ","")&amp;IF(OR(B16="",C16=""),"batch / heat missing (type N/A if not available); ","")&amp;IF(M16="","",IF(ABS(M16)&gt;Settings!$B$11,"exit differs from the calculated time; ",""))&amp;IF(AND(L16&lt;&gt;"",L16&lt;J16),"actual exit before the entry; ",""))</f>
        <v/>
      </c>
      <c r="Q16" s="19"/>
    </row>
    <row r="17" customFormat="false" ht="15" hidden="false" customHeight="false" outlineLevel="0" collapsed="false">
      <c r="A17" s="19"/>
      <c r="B17" s="19"/>
      <c r="C17" s="19"/>
      <c r="D17" s="19"/>
      <c r="E17" s="18" t="str">
        <f aca="false">IF(A17="","",IFERROR(INDEX(Parts!$C$6:$C$45,MATCH(A17,Parts!$A$6:$A$45,0)),""))</f>
        <v/>
      </c>
      <c r="F17" s="18" t="str">
        <f aca="false">IF(A17="","",COUNTIFS('Tray log'!$F$7:$F$306,$A17,'Tray log'!$G$7:$G$306,$B17,'Tray log'!$H$7:$H$306,$C17,'Tray log'!$S$7:$S$306,IF($D17="Y","?*",""))+COUNTIFS('Tray log'!$K$7:$K$306,$A17,'Tray log'!$L$7:$L$306,$B17,'Tray log'!$M$7:$M$306,$C17,'Tray log'!$S$7:$S$306,IF($D17="Y","?*","")))</f>
        <v/>
      </c>
      <c r="G17" s="18" t="str">
        <f aca="false">IF(A17="","",SUMIFS('Tray log'!$J$7:$J$306,'Tray log'!$F$7:$F$306,$A17,'Tray log'!$G$7:$G$306,$B17,'Tray log'!$H$7:$H$306,$C17,'Tray log'!$S$7:$S$306,IF($D17="Y","?*",""))+SUMIFS('Tray log'!$N$7:$N$306,'Tray log'!$K$7:$K$306,$A17,'Tray log'!$L$7:$L$306,$B17,'Tray log'!$M$7:$M$306,$C17,'Tray log'!$S$7:$S$306,IF($D17="Y","?*","")))</f>
        <v/>
      </c>
      <c r="H17" s="24" t="str">
        <f aca="false">IF(A17="","",G17*IFERROR(INDEX(Parts!$F$6:$F$45,MATCH(A17,Parts!$A$6:$A$45,0)),0))</f>
        <v/>
      </c>
      <c r="I17" s="18" t="str">
        <f aca="false">IF(A17="","",SUMIFS('Tray log'!$J$7:$J$306,'Tray log'!$F$7:$F$306,$A17,'Tray log'!$G$7:$G$306,$B17,'Tray log'!$H$7:$H$306,$C17,'Tray log'!$S$7:$S$306,IF($D17="Y","?*",""),'Tray log'!$Y$7:$Y$306,Report!$B$7)+SUMIFS('Tray log'!$N$7:$N$306,'Tray log'!$K$7:$K$306,$A17,'Tray log'!$L$7:$L$306,$B17,'Tray log'!$M$7:$M$306,$C17,'Tray log'!$S$7:$S$306,IF($D17="Y","?*",""),'Tray log'!$Y$7:$Y$306,Report!$B$7))</f>
        <v/>
      </c>
      <c r="J17" s="22" t="str">
        <f aca="false">IF(OR(A17="",COUNTIFS('Tray log'!$F$7:$F$306,$A17,'Tray log'!$G$7:$G$306,$B17,'Tray log'!$H$7:$H$306,$C17,'Tray log'!$S$7:$S$306,IF($D17="Y","?*",""))=0),"",_xlfn.MINIFS('Tray log'!$E$7:$E$306,'Tray log'!$F$7:$F$306,$A17,'Tray log'!$G$7:$G$306,$B17,'Tray log'!$H$7:$H$306,$C17,'Tray log'!$S$7:$S$306,IF($D17="Y","?*","")))</f>
        <v/>
      </c>
      <c r="K17" s="22" t="str">
        <f aca="false">IF(OR(A17="",COUNTIFS('Tray log'!$F$7:$F$306,$A17,'Tray log'!$G$7:$G$306,$B17,'Tray log'!$H$7:$H$306,$C17,'Tray log'!$S$7:$S$306,IF($D17="Y","?*",""))=0),"",_xlfn.MAXIFS('Tray log'!$W$7:$W$306,'Tray log'!$F$7:$F$306,$A17,'Tray log'!$G$7:$G$306,$B17,'Tray log'!$H$7:$H$306,$C17,'Tray log'!$S$7:$S$306,IF($D17="Y","?*","")))</f>
        <v/>
      </c>
      <c r="L17" s="20"/>
      <c r="M17" s="18" t="str">
        <f aca="false">IF(OR(L17="",K17=""),"",ROUND((L17-K17)*1440,0))</f>
        <v/>
      </c>
      <c r="N17" s="27"/>
      <c r="O17" s="28" t="str">
        <f aca="false">IF(OR(N17="",N(H17)=0),"",N17/H17-1)</f>
        <v/>
      </c>
      <c r="P17" s="18" t="str">
        <f aca="false">IF(A17="","",IF(F17=0,"no tray in the log; ","")&amp;IF(E17="","part not on the Parts sheet; ","")&amp;IF(OR(B17="",C17=""),"batch / heat missing (type N/A if not available); ","")&amp;IF(M17="","",IF(ABS(M17)&gt;Settings!$B$11,"exit differs from the calculated time; ",""))&amp;IF(AND(L17&lt;&gt;"",L17&lt;J17),"actual exit before the entry; ",""))</f>
        <v/>
      </c>
      <c r="Q17" s="19"/>
    </row>
    <row r="18" customFormat="false" ht="15" hidden="false" customHeight="false" outlineLevel="0" collapsed="false">
      <c r="A18" s="19"/>
      <c r="B18" s="19"/>
      <c r="C18" s="19"/>
      <c r="D18" s="19"/>
      <c r="E18" s="18" t="str">
        <f aca="false">IF(A18="","",IFERROR(INDEX(Parts!$C$6:$C$45,MATCH(A18,Parts!$A$6:$A$45,0)),""))</f>
        <v/>
      </c>
      <c r="F18" s="18" t="str">
        <f aca="false">IF(A18="","",COUNTIFS('Tray log'!$F$7:$F$306,$A18,'Tray log'!$G$7:$G$306,$B18,'Tray log'!$H$7:$H$306,$C18,'Tray log'!$S$7:$S$306,IF($D18="Y","?*",""))+COUNTIFS('Tray log'!$K$7:$K$306,$A18,'Tray log'!$L$7:$L$306,$B18,'Tray log'!$M$7:$M$306,$C18,'Tray log'!$S$7:$S$306,IF($D18="Y","?*","")))</f>
        <v/>
      </c>
      <c r="G18" s="18" t="str">
        <f aca="false">IF(A18="","",SUMIFS('Tray log'!$J$7:$J$306,'Tray log'!$F$7:$F$306,$A18,'Tray log'!$G$7:$G$306,$B18,'Tray log'!$H$7:$H$306,$C18,'Tray log'!$S$7:$S$306,IF($D18="Y","?*",""))+SUMIFS('Tray log'!$N$7:$N$306,'Tray log'!$K$7:$K$306,$A18,'Tray log'!$L$7:$L$306,$B18,'Tray log'!$M$7:$M$306,$C18,'Tray log'!$S$7:$S$306,IF($D18="Y","?*","")))</f>
        <v/>
      </c>
      <c r="H18" s="24" t="str">
        <f aca="false">IF(A18="","",G18*IFERROR(INDEX(Parts!$F$6:$F$45,MATCH(A18,Parts!$A$6:$A$45,0)),0))</f>
        <v/>
      </c>
      <c r="I18" s="18" t="str">
        <f aca="false">IF(A18="","",SUMIFS('Tray log'!$J$7:$J$306,'Tray log'!$F$7:$F$306,$A18,'Tray log'!$G$7:$G$306,$B18,'Tray log'!$H$7:$H$306,$C18,'Tray log'!$S$7:$S$306,IF($D18="Y","?*",""),'Tray log'!$Y$7:$Y$306,Report!$B$7)+SUMIFS('Tray log'!$N$7:$N$306,'Tray log'!$K$7:$K$306,$A18,'Tray log'!$L$7:$L$306,$B18,'Tray log'!$M$7:$M$306,$C18,'Tray log'!$S$7:$S$306,IF($D18="Y","?*",""),'Tray log'!$Y$7:$Y$306,Report!$B$7))</f>
        <v/>
      </c>
      <c r="J18" s="22" t="str">
        <f aca="false">IF(OR(A18="",COUNTIFS('Tray log'!$F$7:$F$306,$A18,'Tray log'!$G$7:$G$306,$B18,'Tray log'!$H$7:$H$306,$C18,'Tray log'!$S$7:$S$306,IF($D18="Y","?*",""))=0),"",_xlfn.MINIFS('Tray log'!$E$7:$E$306,'Tray log'!$F$7:$F$306,$A18,'Tray log'!$G$7:$G$306,$B18,'Tray log'!$H$7:$H$306,$C18,'Tray log'!$S$7:$S$306,IF($D18="Y","?*","")))</f>
        <v/>
      </c>
      <c r="K18" s="22" t="str">
        <f aca="false">IF(OR(A18="",COUNTIFS('Tray log'!$F$7:$F$306,$A18,'Tray log'!$G$7:$G$306,$B18,'Tray log'!$H$7:$H$306,$C18,'Tray log'!$S$7:$S$306,IF($D18="Y","?*",""))=0),"",_xlfn.MAXIFS('Tray log'!$W$7:$W$306,'Tray log'!$F$7:$F$306,$A18,'Tray log'!$G$7:$G$306,$B18,'Tray log'!$H$7:$H$306,$C18,'Tray log'!$S$7:$S$306,IF($D18="Y","?*","")))</f>
        <v/>
      </c>
      <c r="L18" s="20"/>
      <c r="M18" s="18" t="str">
        <f aca="false">IF(OR(L18="",K18=""),"",ROUND((L18-K18)*1440,0))</f>
        <v/>
      </c>
      <c r="N18" s="27"/>
      <c r="O18" s="28" t="str">
        <f aca="false">IF(OR(N18="",N(H18)=0),"",N18/H18-1)</f>
        <v/>
      </c>
      <c r="P18" s="18" t="str">
        <f aca="false">IF(A18="","",IF(F18=0,"no tray in the log; ","")&amp;IF(E18="","part not on the Parts sheet; ","")&amp;IF(OR(B18="",C18=""),"batch / heat missing (type N/A if not available); ","")&amp;IF(M18="","",IF(ABS(M18)&gt;Settings!$B$11,"exit differs from the calculated time; ",""))&amp;IF(AND(L18&lt;&gt;"",L18&lt;J18),"actual exit before the entry; ",""))</f>
        <v/>
      </c>
      <c r="Q18" s="19"/>
    </row>
    <row r="19" customFormat="false" ht="15" hidden="false" customHeight="false" outlineLevel="0" collapsed="false">
      <c r="A19" s="19"/>
      <c r="B19" s="19"/>
      <c r="C19" s="19"/>
      <c r="D19" s="19"/>
      <c r="E19" s="18" t="str">
        <f aca="false">IF(A19="","",IFERROR(INDEX(Parts!$C$6:$C$45,MATCH(A19,Parts!$A$6:$A$45,0)),""))</f>
        <v/>
      </c>
      <c r="F19" s="18" t="str">
        <f aca="false">IF(A19="","",COUNTIFS('Tray log'!$F$7:$F$306,$A19,'Tray log'!$G$7:$G$306,$B19,'Tray log'!$H$7:$H$306,$C19,'Tray log'!$S$7:$S$306,IF($D19="Y","?*",""))+COUNTIFS('Tray log'!$K$7:$K$306,$A19,'Tray log'!$L$7:$L$306,$B19,'Tray log'!$M$7:$M$306,$C19,'Tray log'!$S$7:$S$306,IF($D19="Y","?*","")))</f>
        <v/>
      </c>
      <c r="G19" s="18" t="str">
        <f aca="false">IF(A19="","",SUMIFS('Tray log'!$J$7:$J$306,'Tray log'!$F$7:$F$306,$A19,'Tray log'!$G$7:$G$306,$B19,'Tray log'!$H$7:$H$306,$C19,'Tray log'!$S$7:$S$306,IF($D19="Y","?*",""))+SUMIFS('Tray log'!$N$7:$N$306,'Tray log'!$K$7:$K$306,$A19,'Tray log'!$L$7:$L$306,$B19,'Tray log'!$M$7:$M$306,$C19,'Tray log'!$S$7:$S$306,IF($D19="Y","?*","")))</f>
        <v/>
      </c>
      <c r="H19" s="24" t="str">
        <f aca="false">IF(A19="","",G19*IFERROR(INDEX(Parts!$F$6:$F$45,MATCH(A19,Parts!$A$6:$A$45,0)),0))</f>
        <v/>
      </c>
      <c r="I19" s="18" t="str">
        <f aca="false">IF(A19="","",SUMIFS('Tray log'!$J$7:$J$306,'Tray log'!$F$7:$F$306,$A19,'Tray log'!$G$7:$G$306,$B19,'Tray log'!$H$7:$H$306,$C19,'Tray log'!$S$7:$S$306,IF($D19="Y","?*",""),'Tray log'!$Y$7:$Y$306,Report!$B$7)+SUMIFS('Tray log'!$N$7:$N$306,'Tray log'!$K$7:$K$306,$A19,'Tray log'!$L$7:$L$306,$B19,'Tray log'!$M$7:$M$306,$C19,'Tray log'!$S$7:$S$306,IF($D19="Y","?*",""),'Tray log'!$Y$7:$Y$306,Report!$B$7))</f>
        <v/>
      </c>
      <c r="J19" s="22" t="str">
        <f aca="false">IF(OR(A19="",COUNTIFS('Tray log'!$F$7:$F$306,$A19,'Tray log'!$G$7:$G$306,$B19,'Tray log'!$H$7:$H$306,$C19,'Tray log'!$S$7:$S$306,IF($D19="Y","?*",""))=0),"",_xlfn.MINIFS('Tray log'!$E$7:$E$306,'Tray log'!$F$7:$F$306,$A19,'Tray log'!$G$7:$G$306,$B19,'Tray log'!$H$7:$H$306,$C19,'Tray log'!$S$7:$S$306,IF($D19="Y","?*","")))</f>
        <v/>
      </c>
      <c r="K19" s="22" t="str">
        <f aca="false">IF(OR(A19="",COUNTIFS('Tray log'!$F$7:$F$306,$A19,'Tray log'!$G$7:$G$306,$B19,'Tray log'!$H$7:$H$306,$C19,'Tray log'!$S$7:$S$306,IF($D19="Y","?*",""))=0),"",_xlfn.MAXIFS('Tray log'!$W$7:$W$306,'Tray log'!$F$7:$F$306,$A19,'Tray log'!$G$7:$G$306,$B19,'Tray log'!$H$7:$H$306,$C19,'Tray log'!$S$7:$S$306,IF($D19="Y","?*","")))</f>
        <v/>
      </c>
      <c r="L19" s="20"/>
      <c r="M19" s="18" t="str">
        <f aca="false">IF(OR(L19="",K19=""),"",ROUND((L19-K19)*1440,0))</f>
        <v/>
      </c>
      <c r="N19" s="27"/>
      <c r="O19" s="28" t="str">
        <f aca="false">IF(OR(N19="",N(H19)=0),"",N19/H19-1)</f>
        <v/>
      </c>
      <c r="P19" s="18" t="str">
        <f aca="false">IF(A19="","",IF(F19=0,"no tray in the log; ","")&amp;IF(E19="","part not on the Parts sheet; ","")&amp;IF(OR(B19="",C19=""),"batch / heat missing (type N/A if not available); ","")&amp;IF(M19="","",IF(ABS(M19)&gt;Settings!$B$11,"exit differs from the calculated time; ",""))&amp;IF(AND(L19&lt;&gt;"",L19&lt;J19),"actual exit before the entry; ",""))</f>
        <v/>
      </c>
      <c r="Q19" s="19"/>
    </row>
    <row r="20" customFormat="false" ht="15" hidden="false" customHeight="false" outlineLevel="0" collapsed="false">
      <c r="A20" s="19"/>
      <c r="B20" s="19"/>
      <c r="C20" s="19"/>
      <c r="D20" s="19"/>
      <c r="E20" s="18" t="str">
        <f aca="false">IF(A20="","",IFERROR(INDEX(Parts!$C$6:$C$45,MATCH(A20,Parts!$A$6:$A$45,0)),""))</f>
        <v/>
      </c>
      <c r="F20" s="18" t="str">
        <f aca="false">IF(A20="","",COUNTIFS('Tray log'!$F$7:$F$306,$A20,'Tray log'!$G$7:$G$306,$B20,'Tray log'!$H$7:$H$306,$C20,'Tray log'!$S$7:$S$306,IF($D20="Y","?*",""))+COUNTIFS('Tray log'!$K$7:$K$306,$A20,'Tray log'!$L$7:$L$306,$B20,'Tray log'!$M$7:$M$306,$C20,'Tray log'!$S$7:$S$306,IF($D20="Y","?*","")))</f>
        <v/>
      </c>
      <c r="G20" s="18" t="str">
        <f aca="false">IF(A20="","",SUMIFS('Tray log'!$J$7:$J$306,'Tray log'!$F$7:$F$306,$A20,'Tray log'!$G$7:$G$306,$B20,'Tray log'!$H$7:$H$306,$C20,'Tray log'!$S$7:$S$306,IF($D20="Y","?*",""))+SUMIFS('Tray log'!$N$7:$N$306,'Tray log'!$K$7:$K$306,$A20,'Tray log'!$L$7:$L$306,$B20,'Tray log'!$M$7:$M$306,$C20,'Tray log'!$S$7:$S$306,IF($D20="Y","?*","")))</f>
        <v/>
      </c>
      <c r="H20" s="24" t="str">
        <f aca="false">IF(A20="","",G20*IFERROR(INDEX(Parts!$F$6:$F$45,MATCH(A20,Parts!$A$6:$A$45,0)),0))</f>
        <v/>
      </c>
      <c r="I20" s="18" t="str">
        <f aca="false">IF(A20="","",SUMIFS('Tray log'!$J$7:$J$306,'Tray log'!$F$7:$F$306,$A20,'Tray log'!$G$7:$G$306,$B20,'Tray log'!$H$7:$H$306,$C20,'Tray log'!$S$7:$S$306,IF($D20="Y","?*",""),'Tray log'!$Y$7:$Y$306,Report!$B$7)+SUMIFS('Tray log'!$N$7:$N$306,'Tray log'!$K$7:$K$306,$A20,'Tray log'!$L$7:$L$306,$B20,'Tray log'!$M$7:$M$306,$C20,'Tray log'!$S$7:$S$306,IF($D20="Y","?*",""),'Tray log'!$Y$7:$Y$306,Report!$B$7))</f>
        <v/>
      </c>
      <c r="J20" s="22" t="str">
        <f aca="false">IF(OR(A20="",COUNTIFS('Tray log'!$F$7:$F$306,$A20,'Tray log'!$G$7:$G$306,$B20,'Tray log'!$H$7:$H$306,$C20,'Tray log'!$S$7:$S$306,IF($D20="Y","?*",""))=0),"",_xlfn.MINIFS('Tray log'!$E$7:$E$306,'Tray log'!$F$7:$F$306,$A20,'Tray log'!$G$7:$G$306,$B20,'Tray log'!$H$7:$H$306,$C20,'Tray log'!$S$7:$S$306,IF($D20="Y","?*","")))</f>
        <v/>
      </c>
      <c r="K20" s="22" t="str">
        <f aca="false">IF(OR(A20="",COUNTIFS('Tray log'!$F$7:$F$306,$A20,'Tray log'!$G$7:$G$306,$B20,'Tray log'!$H$7:$H$306,$C20,'Tray log'!$S$7:$S$306,IF($D20="Y","?*",""))=0),"",_xlfn.MAXIFS('Tray log'!$W$7:$W$306,'Tray log'!$F$7:$F$306,$A20,'Tray log'!$G$7:$G$306,$B20,'Tray log'!$H$7:$H$306,$C20,'Tray log'!$S$7:$S$306,IF($D20="Y","?*","")))</f>
        <v/>
      </c>
      <c r="L20" s="20"/>
      <c r="M20" s="18" t="str">
        <f aca="false">IF(OR(L20="",K20=""),"",ROUND((L20-K20)*1440,0))</f>
        <v/>
      </c>
      <c r="N20" s="27"/>
      <c r="O20" s="28" t="str">
        <f aca="false">IF(OR(N20="",N(H20)=0),"",N20/H20-1)</f>
        <v/>
      </c>
      <c r="P20" s="18" t="str">
        <f aca="false">IF(A20="","",IF(F20=0,"no tray in the log; ","")&amp;IF(E20="","part not on the Parts sheet; ","")&amp;IF(OR(B20="",C20=""),"batch / heat missing (type N/A if not available); ","")&amp;IF(M20="","",IF(ABS(M20)&gt;Settings!$B$11,"exit differs from the calculated time; ",""))&amp;IF(AND(L20&lt;&gt;"",L20&lt;J20),"actual exit before the entry; ",""))</f>
        <v/>
      </c>
      <c r="Q20" s="19"/>
    </row>
    <row r="21" customFormat="false" ht="15" hidden="false" customHeight="false" outlineLevel="0" collapsed="false">
      <c r="A21" s="19"/>
      <c r="B21" s="19"/>
      <c r="C21" s="19"/>
      <c r="D21" s="19"/>
      <c r="E21" s="18" t="str">
        <f aca="false">IF(A21="","",IFERROR(INDEX(Parts!$C$6:$C$45,MATCH(A21,Parts!$A$6:$A$45,0)),""))</f>
        <v/>
      </c>
      <c r="F21" s="18" t="str">
        <f aca="false">IF(A21="","",COUNTIFS('Tray log'!$F$7:$F$306,$A21,'Tray log'!$G$7:$G$306,$B21,'Tray log'!$H$7:$H$306,$C21,'Tray log'!$S$7:$S$306,IF($D21="Y","?*",""))+COUNTIFS('Tray log'!$K$7:$K$306,$A21,'Tray log'!$L$7:$L$306,$B21,'Tray log'!$M$7:$M$306,$C21,'Tray log'!$S$7:$S$306,IF($D21="Y","?*","")))</f>
        <v/>
      </c>
      <c r="G21" s="18" t="str">
        <f aca="false">IF(A21="","",SUMIFS('Tray log'!$J$7:$J$306,'Tray log'!$F$7:$F$306,$A21,'Tray log'!$G$7:$G$306,$B21,'Tray log'!$H$7:$H$306,$C21,'Tray log'!$S$7:$S$306,IF($D21="Y","?*",""))+SUMIFS('Tray log'!$N$7:$N$306,'Tray log'!$K$7:$K$306,$A21,'Tray log'!$L$7:$L$306,$B21,'Tray log'!$M$7:$M$306,$C21,'Tray log'!$S$7:$S$306,IF($D21="Y","?*","")))</f>
        <v/>
      </c>
      <c r="H21" s="24" t="str">
        <f aca="false">IF(A21="","",G21*IFERROR(INDEX(Parts!$F$6:$F$45,MATCH(A21,Parts!$A$6:$A$45,0)),0))</f>
        <v/>
      </c>
      <c r="I21" s="18" t="str">
        <f aca="false">IF(A21="","",SUMIFS('Tray log'!$J$7:$J$306,'Tray log'!$F$7:$F$306,$A21,'Tray log'!$G$7:$G$306,$B21,'Tray log'!$H$7:$H$306,$C21,'Tray log'!$S$7:$S$306,IF($D21="Y","?*",""),'Tray log'!$Y$7:$Y$306,Report!$B$7)+SUMIFS('Tray log'!$N$7:$N$306,'Tray log'!$K$7:$K$306,$A21,'Tray log'!$L$7:$L$306,$B21,'Tray log'!$M$7:$M$306,$C21,'Tray log'!$S$7:$S$306,IF($D21="Y","?*",""),'Tray log'!$Y$7:$Y$306,Report!$B$7))</f>
        <v/>
      </c>
      <c r="J21" s="22" t="str">
        <f aca="false">IF(OR(A21="",COUNTIFS('Tray log'!$F$7:$F$306,$A21,'Tray log'!$G$7:$G$306,$B21,'Tray log'!$H$7:$H$306,$C21,'Tray log'!$S$7:$S$306,IF($D21="Y","?*",""))=0),"",_xlfn.MINIFS('Tray log'!$E$7:$E$306,'Tray log'!$F$7:$F$306,$A21,'Tray log'!$G$7:$G$306,$B21,'Tray log'!$H$7:$H$306,$C21,'Tray log'!$S$7:$S$306,IF($D21="Y","?*","")))</f>
        <v/>
      </c>
      <c r="K21" s="22" t="str">
        <f aca="false">IF(OR(A21="",COUNTIFS('Tray log'!$F$7:$F$306,$A21,'Tray log'!$G$7:$G$306,$B21,'Tray log'!$H$7:$H$306,$C21,'Tray log'!$S$7:$S$306,IF($D21="Y","?*",""))=0),"",_xlfn.MAXIFS('Tray log'!$W$7:$W$306,'Tray log'!$F$7:$F$306,$A21,'Tray log'!$G$7:$G$306,$B21,'Tray log'!$H$7:$H$306,$C21,'Tray log'!$S$7:$S$306,IF($D21="Y","?*","")))</f>
        <v/>
      </c>
      <c r="L21" s="20"/>
      <c r="M21" s="18" t="str">
        <f aca="false">IF(OR(L21="",K21=""),"",ROUND((L21-K21)*1440,0))</f>
        <v/>
      </c>
      <c r="N21" s="27"/>
      <c r="O21" s="28" t="str">
        <f aca="false">IF(OR(N21="",N(H21)=0),"",N21/H21-1)</f>
        <v/>
      </c>
      <c r="P21" s="18" t="str">
        <f aca="false">IF(A21="","",IF(F21=0,"no tray in the log; ","")&amp;IF(E21="","part not on the Parts sheet; ","")&amp;IF(OR(B21="",C21=""),"batch / heat missing (type N/A if not available); ","")&amp;IF(M21="","",IF(ABS(M21)&gt;Settings!$B$11,"exit differs from the calculated time; ",""))&amp;IF(AND(L21&lt;&gt;"",L21&lt;J21),"actual exit before the entry; ",""))</f>
        <v/>
      </c>
      <c r="Q21" s="19"/>
    </row>
    <row r="22" customFormat="false" ht="15" hidden="false" customHeight="false" outlineLevel="0" collapsed="false">
      <c r="A22" s="19"/>
      <c r="B22" s="19"/>
      <c r="C22" s="19"/>
      <c r="D22" s="19"/>
      <c r="E22" s="18" t="str">
        <f aca="false">IF(A22="","",IFERROR(INDEX(Parts!$C$6:$C$45,MATCH(A22,Parts!$A$6:$A$45,0)),""))</f>
        <v/>
      </c>
      <c r="F22" s="18" t="str">
        <f aca="false">IF(A22="","",COUNTIFS('Tray log'!$F$7:$F$306,$A22,'Tray log'!$G$7:$G$306,$B22,'Tray log'!$H$7:$H$306,$C22,'Tray log'!$S$7:$S$306,IF($D22="Y","?*",""))+COUNTIFS('Tray log'!$K$7:$K$306,$A22,'Tray log'!$L$7:$L$306,$B22,'Tray log'!$M$7:$M$306,$C22,'Tray log'!$S$7:$S$306,IF($D22="Y","?*","")))</f>
        <v/>
      </c>
      <c r="G22" s="18" t="str">
        <f aca="false">IF(A22="","",SUMIFS('Tray log'!$J$7:$J$306,'Tray log'!$F$7:$F$306,$A22,'Tray log'!$G$7:$G$306,$B22,'Tray log'!$H$7:$H$306,$C22,'Tray log'!$S$7:$S$306,IF($D22="Y","?*",""))+SUMIFS('Tray log'!$N$7:$N$306,'Tray log'!$K$7:$K$306,$A22,'Tray log'!$L$7:$L$306,$B22,'Tray log'!$M$7:$M$306,$C22,'Tray log'!$S$7:$S$306,IF($D22="Y","?*","")))</f>
        <v/>
      </c>
      <c r="H22" s="24" t="str">
        <f aca="false">IF(A22="","",G22*IFERROR(INDEX(Parts!$F$6:$F$45,MATCH(A22,Parts!$A$6:$A$45,0)),0))</f>
        <v/>
      </c>
      <c r="I22" s="18" t="str">
        <f aca="false">IF(A22="","",SUMIFS('Tray log'!$J$7:$J$306,'Tray log'!$F$7:$F$306,$A22,'Tray log'!$G$7:$G$306,$B22,'Tray log'!$H$7:$H$306,$C22,'Tray log'!$S$7:$S$306,IF($D22="Y","?*",""),'Tray log'!$Y$7:$Y$306,Report!$B$7)+SUMIFS('Tray log'!$N$7:$N$306,'Tray log'!$K$7:$K$306,$A22,'Tray log'!$L$7:$L$306,$B22,'Tray log'!$M$7:$M$306,$C22,'Tray log'!$S$7:$S$306,IF($D22="Y","?*",""),'Tray log'!$Y$7:$Y$306,Report!$B$7))</f>
        <v/>
      </c>
      <c r="J22" s="22" t="str">
        <f aca="false">IF(OR(A22="",COUNTIFS('Tray log'!$F$7:$F$306,$A22,'Tray log'!$G$7:$G$306,$B22,'Tray log'!$H$7:$H$306,$C22,'Tray log'!$S$7:$S$306,IF($D22="Y","?*",""))=0),"",_xlfn.MINIFS('Tray log'!$E$7:$E$306,'Tray log'!$F$7:$F$306,$A22,'Tray log'!$G$7:$G$306,$B22,'Tray log'!$H$7:$H$306,$C22,'Tray log'!$S$7:$S$306,IF($D22="Y","?*","")))</f>
        <v/>
      </c>
      <c r="K22" s="22" t="str">
        <f aca="false">IF(OR(A22="",COUNTIFS('Tray log'!$F$7:$F$306,$A22,'Tray log'!$G$7:$G$306,$B22,'Tray log'!$H$7:$H$306,$C22,'Tray log'!$S$7:$S$306,IF($D22="Y","?*",""))=0),"",_xlfn.MAXIFS('Tray log'!$W$7:$W$306,'Tray log'!$F$7:$F$306,$A22,'Tray log'!$G$7:$G$306,$B22,'Tray log'!$H$7:$H$306,$C22,'Tray log'!$S$7:$S$306,IF($D22="Y","?*","")))</f>
        <v/>
      </c>
      <c r="L22" s="20"/>
      <c r="M22" s="18" t="str">
        <f aca="false">IF(OR(L22="",K22=""),"",ROUND((L22-K22)*1440,0))</f>
        <v/>
      </c>
      <c r="N22" s="27"/>
      <c r="O22" s="28" t="str">
        <f aca="false">IF(OR(N22="",N(H22)=0),"",N22/H22-1)</f>
        <v/>
      </c>
      <c r="P22" s="18" t="str">
        <f aca="false">IF(A22="","",IF(F22=0,"no tray in the log; ","")&amp;IF(E22="","part not on the Parts sheet; ","")&amp;IF(OR(B22="",C22=""),"batch / heat missing (type N/A if not available); ","")&amp;IF(M22="","",IF(ABS(M22)&gt;Settings!$B$11,"exit differs from the calculated time; ",""))&amp;IF(AND(L22&lt;&gt;"",L22&lt;J22),"actual exit before the entry; ",""))</f>
        <v/>
      </c>
      <c r="Q22" s="19"/>
    </row>
    <row r="23" customFormat="false" ht="15" hidden="false" customHeight="false" outlineLevel="0" collapsed="false">
      <c r="A23" s="19"/>
      <c r="B23" s="19"/>
      <c r="C23" s="19"/>
      <c r="D23" s="19"/>
      <c r="E23" s="18" t="str">
        <f aca="false">IF(A23="","",IFERROR(INDEX(Parts!$C$6:$C$45,MATCH(A23,Parts!$A$6:$A$45,0)),""))</f>
        <v/>
      </c>
      <c r="F23" s="18" t="str">
        <f aca="false">IF(A23="","",COUNTIFS('Tray log'!$F$7:$F$306,$A23,'Tray log'!$G$7:$G$306,$B23,'Tray log'!$H$7:$H$306,$C23,'Tray log'!$S$7:$S$306,IF($D23="Y","?*",""))+COUNTIFS('Tray log'!$K$7:$K$306,$A23,'Tray log'!$L$7:$L$306,$B23,'Tray log'!$M$7:$M$306,$C23,'Tray log'!$S$7:$S$306,IF($D23="Y","?*","")))</f>
        <v/>
      </c>
      <c r="G23" s="18" t="str">
        <f aca="false">IF(A23="","",SUMIFS('Tray log'!$J$7:$J$306,'Tray log'!$F$7:$F$306,$A23,'Tray log'!$G$7:$G$306,$B23,'Tray log'!$H$7:$H$306,$C23,'Tray log'!$S$7:$S$306,IF($D23="Y","?*",""))+SUMIFS('Tray log'!$N$7:$N$306,'Tray log'!$K$7:$K$306,$A23,'Tray log'!$L$7:$L$306,$B23,'Tray log'!$M$7:$M$306,$C23,'Tray log'!$S$7:$S$306,IF($D23="Y","?*","")))</f>
        <v/>
      </c>
      <c r="H23" s="24" t="str">
        <f aca="false">IF(A23="","",G23*IFERROR(INDEX(Parts!$F$6:$F$45,MATCH(A23,Parts!$A$6:$A$45,0)),0))</f>
        <v/>
      </c>
      <c r="I23" s="18" t="str">
        <f aca="false">IF(A23="","",SUMIFS('Tray log'!$J$7:$J$306,'Tray log'!$F$7:$F$306,$A23,'Tray log'!$G$7:$G$306,$B23,'Tray log'!$H$7:$H$306,$C23,'Tray log'!$S$7:$S$306,IF($D23="Y","?*",""),'Tray log'!$Y$7:$Y$306,Report!$B$7)+SUMIFS('Tray log'!$N$7:$N$306,'Tray log'!$K$7:$K$306,$A23,'Tray log'!$L$7:$L$306,$B23,'Tray log'!$M$7:$M$306,$C23,'Tray log'!$S$7:$S$306,IF($D23="Y","?*",""),'Tray log'!$Y$7:$Y$306,Report!$B$7))</f>
        <v/>
      </c>
      <c r="J23" s="22" t="str">
        <f aca="false">IF(OR(A23="",COUNTIFS('Tray log'!$F$7:$F$306,$A23,'Tray log'!$G$7:$G$306,$B23,'Tray log'!$H$7:$H$306,$C23,'Tray log'!$S$7:$S$306,IF($D23="Y","?*",""))=0),"",_xlfn.MINIFS('Tray log'!$E$7:$E$306,'Tray log'!$F$7:$F$306,$A23,'Tray log'!$G$7:$G$306,$B23,'Tray log'!$H$7:$H$306,$C23,'Tray log'!$S$7:$S$306,IF($D23="Y","?*","")))</f>
        <v/>
      </c>
      <c r="K23" s="22" t="str">
        <f aca="false">IF(OR(A23="",COUNTIFS('Tray log'!$F$7:$F$306,$A23,'Tray log'!$G$7:$G$306,$B23,'Tray log'!$H$7:$H$306,$C23,'Tray log'!$S$7:$S$306,IF($D23="Y","?*",""))=0),"",_xlfn.MAXIFS('Tray log'!$W$7:$W$306,'Tray log'!$F$7:$F$306,$A23,'Tray log'!$G$7:$G$306,$B23,'Tray log'!$H$7:$H$306,$C23,'Tray log'!$S$7:$S$306,IF($D23="Y","?*","")))</f>
        <v/>
      </c>
      <c r="L23" s="20"/>
      <c r="M23" s="18" t="str">
        <f aca="false">IF(OR(L23="",K23=""),"",ROUND((L23-K23)*1440,0))</f>
        <v/>
      </c>
      <c r="N23" s="27"/>
      <c r="O23" s="28" t="str">
        <f aca="false">IF(OR(N23="",N(H23)=0),"",N23/H23-1)</f>
        <v/>
      </c>
      <c r="P23" s="18" t="str">
        <f aca="false">IF(A23="","",IF(F23=0,"no tray in the log; ","")&amp;IF(E23="","part not on the Parts sheet; ","")&amp;IF(OR(B23="",C23=""),"batch / heat missing (type N/A if not available); ","")&amp;IF(M23="","",IF(ABS(M23)&gt;Settings!$B$11,"exit differs from the calculated time; ",""))&amp;IF(AND(L23&lt;&gt;"",L23&lt;J23),"actual exit before the entry; ",""))</f>
        <v/>
      </c>
      <c r="Q23" s="19"/>
    </row>
    <row r="24" customFormat="false" ht="15" hidden="false" customHeight="false" outlineLevel="0" collapsed="false">
      <c r="A24" s="19"/>
      <c r="B24" s="19"/>
      <c r="C24" s="19"/>
      <c r="D24" s="19"/>
      <c r="E24" s="18" t="str">
        <f aca="false">IF(A24="","",IFERROR(INDEX(Parts!$C$6:$C$45,MATCH(A24,Parts!$A$6:$A$45,0)),""))</f>
        <v/>
      </c>
      <c r="F24" s="18" t="str">
        <f aca="false">IF(A24="","",COUNTIFS('Tray log'!$F$7:$F$306,$A24,'Tray log'!$G$7:$G$306,$B24,'Tray log'!$H$7:$H$306,$C24,'Tray log'!$S$7:$S$306,IF($D24="Y","?*",""))+COUNTIFS('Tray log'!$K$7:$K$306,$A24,'Tray log'!$L$7:$L$306,$B24,'Tray log'!$M$7:$M$306,$C24,'Tray log'!$S$7:$S$306,IF($D24="Y","?*","")))</f>
        <v/>
      </c>
      <c r="G24" s="18" t="str">
        <f aca="false">IF(A24="","",SUMIFS('Tray log'!$J$7:$J$306,'Tray log'!$F$7:$F$306,$A24,'Tray log'!$G$7:$G$306,$B24,'Tray log'!$H$7:$H$306,$C24,'Tray log'!$S$7:$S$306,IF($D24="Y","?*",""))+SUMIFS('Tray log'!$N$7:$N$306,'Tray log'!$K$7:$K$306,$A24,'Tray log'!$L$7:$L$306,$B24,'Tray log'!$M$7:$M$306,$C24,'Tray log'!$S$7:$S$306,IF($D24="Y","?*","")))</f>
        <v/>
      </c>
      <c r="H24" s="24" t="str">
        <f aca="false">IF(A24="","",G24*IFERROR(INDEX(Parts!$F$6:$F$45,MATCH(A24,Parts!$A$6:$A$45,0)),0))</f>
        <v/>
      </c>
      <c r="I24" s="18" t="str">
        <f aca="false">IF(A24="","",SUMIFS('Tray log'!$J$7:$J$306,'Tray log'!$F$7:$F$306,$A24,'Tray log'!$G$7:$G$306,$B24,'Tray log'!$H$7:$H$306,$C24,'Tray log'!$S$7:$S$306,IF($D24="Y","?*",""),'Tray log'!$Y$7:$Y$306,Report!$B$7)+SUMIFS('Tray log'!$N$7:$N$306,'Tray log'!$K$7:$K$306,$A24,'Tray log'!$L$7:$L$306,$B24,'Tray log'!$M$7:$M$306,$C24,'Tray log'!$S$7:$S$306,IF($D24="Y","?*",""),'Tray log'!$Y$7:$Y$306,Report!$B$7))</f>
        <v/>
      </c>
      <c r="J24" s="22" t="str">
        <f aca="false">IF(OR(A24="",COUNTIFS('Tray log'!$F$7:$F$306,$A24,'Tray log'!$G$7:$G$306,$B24,'Tray log'!$H$7:$H$306,$C24,'Tray log'!$S$7:$S$306,IF($D24="Y","?*",""))=0),"",_xlfn.MINIFS('Tray log'!$E$7:$E$306,'Tray log'!$F$7:$F$306,$A24,'Tray log'!$G$7:$G$306,$B24,'Tray log'!$H$7:$H$306,$C24,'Tray log'!$S$7:$S$306,IF($D24="Y","?*","")))</f>
        <v/>
      </c>
      <c r="K24" s="22" t="str">
        <f aca="false">IF(OR(A24="",COUNTIFS('Tray log'!$F$7:$F$306,$A24,'Tray log'!$G$7:$G$306,$B24,'Tray log'!$H$7:$H$306,$C24,'Tray log'!$S$7:$S$306,IF($D24="Y","?*",""))=0),"",_xlfn.MAXIFS('Tray log'!$W$7:$W$306,'Tray log'!$F$7:$F$306,$A24,'Tray log'!$G$7:$G$306,$B24,'Tray log'!$H$7:$H$306,$C24,'Tray log'!$S$7:$S$306,IF($D24="Y","?*","")))</f>
        <v/>
      </c>
      <c r="L24" s="20"/>
      <c r="M24" s="18" t="str">
        <f aca="false">IF(OR(L24="",K24=""),"",ROUND((L24-K24)*1440,0))</f>
        <v/>
      </c>
      <c r="N24" s="27"/>
      <c r="O24" s="28" t="str">
        <f aca="false">IF(OR(N24="",N(H24)=0),"",N24/H24-1)</f>
        <v/>
      </c>
      <c r="P24" s="18" t="str">
        <f aca="false">IF(A24="","",IF(F24=0,"no tray in the log; ","")&amp;IF(E24="","part not on the Parts sheet; ","")&amp;IF(OR(B24="",C24=""),"batch / heat missing (type N/A if not available); ","")&amp;IF(M24="","",IF(ABS(M24)&gt;Settings!$B$11,"exit differs from the calculated time; ",""))&amp;IF(AND(L24&lt;&gt;"",L24&lt;J24),"actual exit before the entry; ",""))</f>
        <v/>
      </c>
      <c r="Q24" s="19"/>
    </row>
    <row r="25" customFormat="false" ht="15" hidden="false" customHeight="false" outlineLevel="0" collapsed="false">
      <c r="A25" s="19"/>
      <c r="B25" s="19"/>
      <c r="C25" s="19"/>
      <c r="D25" s="19"/>
      <c r="E25" s="18" t="str">
        <f aca="false">IF(A25="","",IFERROR(INDEX(Parts!$C$6:$C$45,MATCH(A25,Parts!$A$6:$A$45,0)),""))</f>
        <v/>
      </c>
      <c r="F25" s="18" t="str">
        <f aca="false">IF(A25="","",COUNTIFS('Tray log'!$F$7:$F$306,$A25,'Tray log'!$G$7:$G$306,$B25,'Tray log'!$H$7:$H$306,$C25,'Tray log'!$S$7:$S$306,IF($D25="Y","?*",""))+COUNTIFS('Tray log'!$K$7:$K$306,$A25,'Tray log'!$L$7:$L$306,$B25,'Tray log'!$M$7:$M$306,$C25,'Tray log'!$S$7:$S$306,IF($D25="Y","?*","")))</f>
        <v/>
      </c>
      <c r="G25" s="18" t="str">
        <f aca="false">IF(A25="","",SUMIFS('Tray log'!$J$7:$J$306,'Tray log'!$F$7:$F$306,$A25,'Tray log'!$G$7:$G$306,$B25,'Tray log'!$H$7:$H$306,$C25,'Tray log'!$S$7:$S$306,IF($D25="Y","?*",""))+SUMIFS('Tray log'!$N$7:$N$306,'Tray log'!$K$7:$K$306,$A25,'Tray log'!$L$7:$L$306,$B25,'Tray log'!$M$7:$M$306,$C25,'Tray log'!$S$7:$S$306,IF($D25="Y","?*","")))</f>
        <v/>
      </c>
      <c r="H25" s="24" t="str">
        <f aca="false">IF(A25="","",G25*IFERROR(INDEX(Parts!$F$6:$F$45,MATCH(A25,Parts!$A$6:$A$45,0)),0))</f>
        <v/>
      </c>
      <c r="I25" s="18" t="str">
        <f aca="false">IF(A25="","",SUMIFS('Tray log'!$J$7:$J$306,'Tray log'!$F$7:$F$306,$A25,'Tray log'!$G$7:$G$306,$B25,'Tray log'!$H$7:$H$306,$C25,'Tray log'!$S$7:$S$306,IF($D25="Y","?*",""),'Tray log'!$Y$7:$Y$306,Report!$B$7)+SUMIFS('Tray log'!$N$7:$N$306,'Tray log'!$K$7:$K$306,$A25,'Tray log'!$L$7:$L$306,$B25,'Tray log'!$M$7:$M$306,$C25,'Tray log'!$S$7:$S$306,IF($D25="Y","?*",""),'Tray log'!$Y$7:$Y$306,Report!$B$7))</f>
        <v/>
      </c>
      <c r="J25" s="22" t="str">
        <f aca="false">IF(OR(A25="",COUNTIFS('Tray log'!$F$7:$F$306,$A25,'Tray log'!$G$7:$G$306,$B25,'Tray log'!$H$7:$H$306,$C25,'Tray log'!$S$7:$S$306,IF($D25="Y","?*",""))=0),"",_xlfn.MINIFS('Tray log'!$E$7:$E$306,'Tray log'!$F$7:$F$306,$A25,'Tray log'!$G$7:$G$306,$B25,'Tray log'!$H$7:$H$306,$C25,'Tray log'!$S$7:$S$306,IF($D25="Y","?*","")))</f>
        <v/>
      </c>
      <c r="K25" s="22" t="str">
        <f aca="false">IF(OR(A25="",COUNTIFS('Tray log'!$F$7:$F$306,$A25,'Tray log'!$G$7:$G$306,$B25,'Tray log'!$H$7:$H$306,$C25,'Tray log'!$S$7:$S$306,IF($D25="Y","?*",""))=0),"",_xlfn.MAXIFS('Tray log'!$W$7:$W$306,'Tray log'!$F$7:$F$306,$A25,'Tray log'!$G$7:$G$306,$B25,'Tray log'!$H$7:$H$306,$C25,'Tray log'!$S$7:$S$306,IF($D25="Y","?*","")))</f>
        <v/>
      </c>
      <c r="L25" s="20"/>
      <c r="M25" s="18" t="str">
        <f aca="false">IF(OR(L25="",K25=""),"",ROUND((L25-K25)*1440,0))</f>
        <v/>
      </c>
      <c r="N25" s="27"/>
      <c r="O25" s="28" t="str">
        <f aca="false">IF(OR(N25="",N(H25)=0),"",N25/H25-1)</f>
        <v/>
      </c>
      <c r="P25" s="18" t="str">
        <f aca="false">IF(A25="","",IF(F25=0,"no tray in the log; ","")&amp;IF(E25="","part not on the Parts sheet; ","")&amp;IF(OR(B25="",C25=""),"batch / heat missing (type N/A if not available); ","")&amp;IF(M25="","",IF(ABS(M25)&gt;Settings!$B$11,"exit differs from the calculated time; ",""))&amp;IF(AND(L25&lt;&gt;"",L25&lt;J25),"actual exit before the entry; ",""))</f>
        <v/>
      </c>
      <c r="Q25" s="19"/>
    </row>
    <row r="26" customFormat="false" ht="15" hidden="false" customHeight="false" outlineLevel="0" collapsed="false">
      <c r="A26" s="19"/>
      <c r="B26" s="19"/>
      <c r="C26" s="19"/>
      <c r="D26" s="19"/>
      <c r="E26" s="18" t="str">
        <f aca="false">IF(A26="","",IFERROR(INDEX(Parts!$C$6:$C$45,MATCH(A26,Parts!$A$6:$A$45,0)),""))</f>
        <v/>
      </c>
      <c r="F26" s="18" t="str">
        <f aca="false">IF(A26="","",COUNTIFS('Tray log'!$F$7:$F$306,$A26,'Tray log'!$G$7:$G$306,$B26,'Tray log'!$H$7:$H$306,$C26,'Tray log'!$S$7:$S$306,IF($D26="Y","?*",""))+COUNTIFS('Tray log'!$K$7:$K$306,$A26,'Tray log'!$L$7:$L$306,$B26,'Tray log'!$M$7:$M$306,$C26,'Tray log'!$S$7:$S$306,IF($D26="Y","?*","")))</f>
        <v/>
      </c>
      <c r="G26" s="18" t="str">
        <f aca="false">IF(A26="","",SUMIFS('Tray log'!$J$7:$J$306,'Tray log'!$F$7:$F$306,$A26,'Tray log'!$G$7:$G$306,$B26,'Tray log'!$H$7:$H$306,$C26,'Tray log'!$S$7:$S$306,IF($D26="Y","?*",""))+SUMIFS('Tray log'!$N$7:$N$306,'Tray log'!$K$7:$K$306,$A26,'Tray log'!$L$7:$L$306,$B26,'Tray log'!$M$7:$M$306,$C26,'Tray log'!$S$7:$S$306,IF($D26="Y","?*","")))</f>
        <v/>
      </c>
      <c r="H26" s="24" t="str">
        <f aca="false">IF(A26="","",G26*IFERROR(INDEX(Parts!$F$6:$F$45,MATCH(A26,Parts!$A$6:$A$45,0)),0))</f>
        <v/>
      </c>
      <c r="I26" s="18" t="str">
        <f aca="false">IF(A26="","",SUMIFS('Tray log'!$J$7:$J$306,'Tray log'!$F$7:$F$306,$A26,'Tray log'!$G$7:$G$306,$B26,'Tray log'!$H$7:$H$306,$C26,'Tray log'!$S$7:$S$306,IF($D26="Y","?*",""),'Tray log'!$Y$7:$Y$306,Report!$B$7)+SUMIFS('Tray log'!$N$7:$N$306,'Tray log'!$K$7:$K$306,$A26,'Tray log'!$L$7:$L$306,$B26,'Tray log'!$M$7:$M$306,$C26,'Tray log'!$S$7:$S$306,IF($D26="Y","?*",""),'Tray log'!$Y$7:$Y$306,Report!$B$7))</f>
        <v/>
      </c>
      <c r="J26" s="22" t="str">
        <f aca="false">IF(OR(A26="",COUNTIFS('Tray log'!$F$7:$F$306,$A26,'Tray log'!$G$7:$G$306,$B26,'Tray log'!$H$7:$H$306,$C26,'Tray log'!$S$7:$S$306,IF($D26="Y","?*",""))=0),"",_xlfn.MINIFS('Tray log'!$E$7:$E$306,'Tray log'!$F$7:$F$306,$A26,'Tray log'!$G$7:$G$306,$B26,'Tray log'!$H$7:$H$306,$C26,'Tray log'!$S$7:$S$306,IF($D26="Y","?*","")))</f>
        <v/>
      </c>
      <c r="K26" s="22" t="str">
        <f aca="false">IF(OR(A26="",COUNTIFS('Tray log'!$F$7:$F$306,$A26,'Tray log'!$G$7:$G$306,$B26,'Tray log'!$H$7:$H$306,$C26,'Tray log'!$S$7:$S$306,IF($D26="Y","?*",""))=0),"",_xlfn.MAXIFS('Tray log'!$W$7:$W$306,'Tray log'!$F$7:$F$306,$A26,'Tray log'!$G$7:$G$306,$B26,'Tray log'!$H$7:$H$306,$C26,'Tray log'!$S$7:$S$306,IF($D26="Y","?*","")))</f>
        <v/>
      </c>
      <c r="L26" s="20"/>
      <c r="M26" s="18" t="str">
        <f aca="false">IF(OR(L26="",K26=""),"",ROUND((L26-K26)*1440,0))</f>
        <v/>
      </c>
      <c r="N26" s="27"/>
      <c r="O26" s="28" t="str">
        <f aca="false">IF(OR(N26="",N(H26)=0),"",N26/H26-1)</f>
        <v/>
      </c>
      <c r="P26" s="18" t="str">
        <f aca="false">IF(A26="","",IF(F26=0,"no tray in the log; ","")&amp;IF(E26="","part not on the Parts sheet; ","")&amp;IF(OR(B26="",C26=""),"batch / heat missing (type N/A if not available); ","")&amp;IF(M26="","",IF(ABS(M26)&gt;Settings!$B$11,"exit differs from the calculated time; ",""))&amp;IF(AND(L26&lt;&gt;"",L26&lt;J26),"actual exit before the entry; ",""))</f>
        <v/>
      </c>
      <c r="Q26" s="19"/>
    </row>
    <row r="27" customFormat="false" ht="15" hidden="false" customHeight="false" outlineLevel="0" collapsed="false">
      <c r="A27" s="19"/>
      <c r="B27" s="19"/>
      <c r="C27" s="19"/>
      <c r="D27" s="19"/>
      <c r="E27" s="18" t="str">
        <f aca="false">IF(A27="","",IFERROR(INDEX(Parts!$C$6:$C$45,MATCH(A27,Parts!$A$6:$A$45,0)),""))</f>
        <v/>
      </c>
      <c r="F27" s="18" t="str">
        <f aca="false">IF(A27="","",COUNTIFS('Tray log'!$F$7:$F$306,$A27,'Tray log'!$G$7:$G$306,$B27,'Tray log'!$H$7:$H$306,$C27,'Tray log'!$S$7:$S$306,IF($D27="Y","?*",""))+COUNTIFS('Tray log'!$K$7:$K$306,$A27,'Tray log'!$L$7:$L$306,$B27,'Tray log'!$M$7:$M$306,$C27,'Tray log'!$S$7:$S$306,IF($D27="Y","?*","")))</f>
        <v/>
      </c>
      <c r="G27" s="18" t="str">
        <f aca="false">IF(A27="","",SUMIFS('Tray log'!$J$7:$J$306,'Tray log'!$F$7:$F$306,$A27,'Tray log'!$G$7:$G$306,$B27,'Tray log'!$H$7:$H$306,$C27,'Tray log'!$S$7:$S$306,IF($D27="Y","?*",""))+SUMIFS('Tray log'!$N$7:$N$306,'Tray log'!$K$7:$K$306,$A27,'Tray log'!$L$7:$L$306,$B27,'Tray log'!$M$7:$M$306,$C27,'Tray log'!$S$7:$S$306,IF($D27="Y","?*","")))</f>
        <v/>
      </c>
      <c r="H27" s="24" t="str">
        <f aca="false">IF(A27="","",G27*IFERROR(INDEX(Parts!$F$6:$F$45,MATCH(A27,Parts!$A$6:$A$45,0)),0))</f>
        <v/>
      </c>
      <c r="I27" s="18" t="str">
        <f aca="false">IF(A27="","",SUMIFS('Tray log'!$J$7:$J$306,'Tray log'!$F$7:$F$306,$A27,'Tray log'!$G$7:$G$306,$B27,'Tray log'!$H$7:$H$306,$C27,'Tray log'!$S$7:$S$306,IF($D27="Y","?*",""),'Tray log'!$Y$7:$Y$306,Report!$B$7)+SUMIFS('Tray log'!$N$7:$N$306,'Tray log'!$K$7:$K$306,$A27,'Tray log'!$L$7:$L$306,$B27,'Tray log'!$M$7:$M$306,$C27,'Tray log'!$S$7:$S$306,IF($D27="Y","?*",""),'Tray log'!$Y$7:$Y$306,Report!$B$7))</f>
        <v/>
      </c>
      <c r="J27" s="22" t="str">
        <f aca="false">IF(OR(A27="",COUNTIFS('Tray log'!$F$7:$F$306,$A27,'Tray log'!$G$7:$G$306,$B27,'Tray log'!$H$7:$H$306,$C27,'Tray log'!$S$7:$S$306,IF($D27="Y","?*",""))=0),"",_xlfn.MINIFS('Tray log'!$E$7:$E$306,'Tray log'!$F$7:$F$306,$A27,'Tray log'!$G$7:$G$306,$B27,'Tray log'!$H$7:$H$306,$C27,'Tray log'!$S$7:$S$306,IF($D27="Y","?*","")))</f>
        <v/>
      </c>
      <c r="K27" s="22" t="str">
        <f aca="false">IF(OR(A27="",COUNTIFS('Tray log'!$F$7:$F$306,$A27,'Tray log'!$G$7:$G$306,$B27,'Tray log'!$H$7:$H$306,$C27,'Tray log'!$S$7:$S$306,IF($D27="Y","?*",""))=0),"",_xlfn.MAXIFS('Tray log'!$W$7:$W$306,'Tray log'!$F$7:$F$306,$A27,'Tray log'!$G$7:$G$306,$B27,'Tray log'!$H$7:$H$306,$C27,'Tray log'!$S$7:$S$306,IF($D27="Y","?*","")))</f>
        <v/>
      </c>
      <c r="L27" s="20"/>
      <c r="M27" s="18" t="str">
        <f aca="false">IF(OR(L27="",K27=""),"",ROUND((L27-K27)*1440,0))</f>
        <v/>
      </c>
      <c r="N27" s="27"/>
      <c r="O27" s="28" t="str">
        <f aca="false">IF(OR(N27="",N(H27)=0),"",N27/H27-1)</f>
        <v/>
      </c>
      <c r="P27" s="18" t="str">
        <f aca="false">IF(A27="","",IF(F27=0,"no tray in the log; ","")&amp;IF(E27="","part not on the Parts sheet; ","")&amp;IF(OR(B27="",C27=""),"batch / heat missing (type N/A if not available); ","")&amp;IF(M27="","",IF(ABS(M27)&gt;Settings!$B$11,"exit differs from the calculated time; ",""))&amp;IF(AND(L27&lt;&gt;"",L27&lt;J27),"actual exit before the entry; ",""))</f>
        <v/>
      </c>
      <c r="Q27" s="19"/>
    </row>
    <row r="28" customFormat="false" ht="15" hidden="false" customHeight="false" outlineLevel="0" collapsed="false">
      <c r="A28" s="19"/>
      <c r="B28" s="19"/>
      <c r="C28" s="19"/>
      <c r="D28" s="19"/>
      <c r="E28" s="18" t="str">
        <f aca="false">IF(A28="","",IFERROR(INDEX(Parts!$C$6:$C$45,MATCH(A28,Parts!$A$6:$A$45,0)),""))</f>
        <v/>
      </c>
      <c r="F28" s="18" t="str">
        <f aca="false">IF(A28="","",COUNTIFS('Tray log'!$F$7:$F$306,$A28,'Tray log'!$G$7:$G$306,$B28,'Tray log'!$H$7:$H$306,$C28,'Tray log'!$S$7:$S$306,IF($D28="Y","?*",""))+COUNTIFS('Tray log'!$K$7:$K$306,$A28,'Tray log'!$L$7:$L$306,$B28,'Tray log'!$M$7:$M$306,$C28,'Tray log'!$S$7:$S$306,IF($D28="Y","?*","")))</f>
        <v/>
      </c>
      <c r="G28" s="18" t="str">
        <f aca="false">IF(A28="","",SUMIFS('Tray log'!$J$7:$J$306,'Tray log'!$F$7:$F$306,$A28,'Tray log'!$G$7:$G$306,$B28,'Tray log'!$H$7:$H$306,$C28,'Tray log'!$S$7:$S$306,IF($D28="Y","?*",""))+SUMIFS('Tray log'!$N$7:$N$306,'Tray log'!$K$7:$K$306,$A28,'Tray log'!$L$7:$L$306,$B28,'Tray log'!$M$7:$M$306,$C28,'Tray log'!$S$7:$S$306,IF($D28="Y","?*","")))</f>
        <v/>
      </c>
      <c r="H28" s="24" t="str">
        <f aca="false">IF(A28="","",G28*IFERROR(INDEX(Parts!$F$6:$F$45,MATCH(A28,Parts!$A$6:$A$45,0)),0))</f>
        <v/>
      </c>
      <c r="I28" s="18" t="str">
        <f aca="false">IF(A28="","",SUMIFS('Tray log'!$J$7:$J$306,'Tray log'!$F$7:$F$306,$A28,'Tray log'!$G$7:$G$306,$B28,'Tray log'!$H$7:$H$306,$C28,'Tray log'!$S$7:$S$306,IF($D28="Y","?*",""),'Tray log'!$Y$7:$Y$306,Report!$B$7)+SUMIFS('Tray log'!$N$7:$N$306,'Tray log'!$K$7:$K$306,$A28,'Tray log'!$L$7:$L$306,$B28,'Tray log'!$M$7:$M$306,$C28,'Tray log'!$S$7:$S$306,IF($D28="Y","?*",""),'Tray log'!$Y$7:$Y$306,Report!$B$7))</f>
        <v/>
      </c>
      <c r="J28" s="22" t="str">
        <f aca="false">IF(OR(A28="",COUNTIFS('Tray log'!$F$7:$F$306,$A28,'Tray log'!$G$7:$G$306,$B28,'Tray log'!$H$7:$H$306,$C28,'Tray log'!$S$7:$S$306,IF($D28="Y","?*",""))=0),"",_xlfn.MINIFS('Tray log'!$E$7:$E$306,'Tray log'!$F$7:$F$306,$A28,'Tray log'!$G$7:$G$306,$B28,'Tray log'!$H$7:$H$306,$C28,'Tray log'!$S$7:$S$306,IF($D28="Y","?*","")))</f>
        <v/>
      </c>
      <c r="K28" s="22" t="str">
        <f aca="false">IF(OR(A28="",COUNTIFS('Tray log'!$F$7:$F$306,$A28,'Tray log'!$G$7:$G$306,$B28,'Tray log'!$H$7:$H$306,$C28,'Tray log'!$S$7:$S$306,IF($D28="Y","?*",""))=0),"",_xlfn.MAXIFS('Tray log'!$W$7:$W$306,'Tray log'!$F$7:$F$306,$A28,'Tray log'!$G$7:$G$306,$B28,'Tray log'!$H$7:$H$306,$C28,'Tray log'!$S$7:$S$306,IF($D28="Y","?*","")))</f>
        <v/>
      </c>
      <c r="L28" s="20"/>
      <c r="M28" s="18" t="str">
        <f aca="false">IF(OR(L28="",K28=""),"",ROUND((L28-K28)*1440,0))</f>
        <v/>
      </c>
      <c r="N28" s="27"/>
      <c r="O28" s="28" t="str">
        <f aca="false">IF(OR(N28="",N(H28)=0),"",N28/H28-1)</f>
        <v/>
      </c>
      <c r="P28" s="18" t="str">
        <f aca="false">IF(A28="","",IF(F28=0,"no tray in the log; ","")&amp;IF(E28="","part not on the Parts sheet; ","")&amp;IF(OR(B28="",C28=""),"batch / heat missing (type N/A if not available); ","")&amp;IF(M28="","",IF(ABS(M28)&gt;Settings!$B$11,"exit differs from the calculated time; ",""))&amp;IF(AND(L28&lt;&gt;"",L28&lt;J28),"actual exit before the entry; ",""))</f>
        <v/>
      </c>
      <c r="Q28" s="19"/>
    </row>
    <row r="29" customFormat="false" ht="15" hidden="false" customHeight="false" outlineLevel="0" collapsed="false">
      <c r="A29" s="19"/>
      <c r="B29" s="19"/>
      <c r="C29" s="19"/>
      <c r="D29" s="19"/>
      <c r="E29" s="18" t="str">
        <f aca="false">IF(A29="","",IFERROR(INDEX(Parts!$C$6:$C$45,MATCH(A29,Parts!$A$6:$A$45,0)),""))</f>
        <v/>
      </c>
      <c r="F29" s="18" t="str">
        <f aca="false">IF(A29="","",COUNTIFS('Tray log'!$F$7:$F$306,$A29,'Tray log'!$G$7:$G$306,$B29,'Tray log'!$H$7:$H$306,$C29,'Tray log'!$S$7:$S$306,IF($D29="Y","?*",""))+COUNTIFS('Tray log'!$K$7:$K$306,$A29,'Tray log'!$L$7:$L$306,$B29,'Tray log'!$M$7:$M$306,$C29,'Tray log'!$S$7:$S$306,IF($D29="Y","?*","")))</f>
        <v/>
      </c>
      <c r="G29" s="18" t="str">
        <f aca="false">IF(A29="","",SUMIFS('Tray log'!$J$7:$J$306,'Tray log'!$F$7:$F$306,$A29,'Tray log'!$G$7:$G$306,$B29,'Tray log'!$H$7:$H$306,$C29,'Tray log'!$S$7:$S$306,IF($D29="Y","?*",""))+SUMIFS('Tray log'!$N$7:$N$306,'Tray log'!$K$7:$K$306,$A29,'Tray log'!$L$7:$L$306,$B29,'Tray log'!$M$7:$M$306,$C29,'Tray log'!$S$7:$S$306,IF($D29="Y","?*","")))</f>
        <v/>
      </c>
      <c r="H29" s="24" t="str">
        <f aca="false">IF(A29="","",G29*IFERROR(INDEX(Parts!$F$6:$F$45,MATCH(A29,Parts!$A$6:$A$45,0)),0))</f>
        <v/>
      </c>
      <c r="I29" s="18" t="str">
        <f aca="false">IF(A29="","",SUMIFS('Tray log'!$J$7:$J$306,'Tray log'!$F$7:$F$306,$A29,'Tray log'!$G$7:$G$306,$B29,'Tray log'!$H$7:$H$306,$C29,'Tray log'!$S$7:$S$306,IF($D29="Y","?*",""),'Tray log'!$Y$7:$Y$306,Report!$B$7)+SUMIFS('Tray log'!$N$7:$N$306,'Tray log'!$K$7:$K$306,$A29,'Tray log'!$L$7:$L$306,$B29,'Tray log'!$M$7:$M$306,$C29,'Tray log'!$S$7:$S$306,IF($D29="Y","?*",""),'Tray log'!$Y$7:$Y$306,Report!$B$7))</f>
        <v/>
      </c>
      <c r="J29" s="22" t="str">
        <f aca="false">IF(OR(A29="",COUNTIFS('Tray log'!$F$7:$F$306,$A29,'Tray log'!$G$7:$G$306,$B29,'Tray log'!$H$7:$H$306,$C29,'Tray log'!$S$7:$S$306,IF($D29="Y","?*",""))=0),"",_xlfn.MINIFS('Tray log'!$E$7:$E$306,'Tray log'!$F$7:$F$306,$A29,'Tray log'!$G$7:$G$306,$B29,'Tray log'!$H$7:$H$306,$C29,'Tray log'!$S$7:$S$306,IF($D29="Y","?*","")))</f>
        <v/>
      </c>
      <c r="K29" s="22" t="str">
        <f aca="false">IF(OR(A29="",COUNTIFS('Tray log'!$F$7:$F$306,$A29,'Tray log'!$G$7:$G$306,$B29,'Tray log'!$H$7:$H$306,$C29,'Tray log'!$S$7:$S$306,IF($D29="Y","?*",""))=0),"",_xlfn.MAXIFS('Tray log'!$W$7:$W$306,'Tray log'!$F$7:$F$306,$A29,'Tray log'!$G$7:$G$306,$B29,'Tray log'!$H$7:$H$306,$C29,'Tray log'!$S$7:$S$306,IF($D29="Y","?*","")))</f>
        <v/>
      </c>
      <c r="L29" s="20"/>
      <c r="M29" s="18" t="str">
        <f aca="false">IF(OR(L29="",K29=""),"",ROUND((L29-K29)*1440,0))</f>
        <v/>
      </c>
      <c r="N29" s="27"/>
      <c r="O29" s="28" t="str">
        <f aca="false">IF(OR(N29="",N(H29)=0),"",N29/H29-1)</f>
        <v/>
      </c>
      <c r="P29" s="18" t="str">
        <f aca="false">IF(A29="","",IF(F29=0,"no tray in the log; ","")&amp;IF(E29="","part not on the Parts sheet; ","")&amp;IF(OR(B29="",C29=""),"batch / heat missing (type N/A if not available); ","")&amp;IF(M29="","",IF(ABS(M29)&gt;Settings!$B$11,"exit differs from the calculated time; ",""))&amp;IF(AND(L29&lt;&gt;"",L29&lt;J29),"actual exit before the entry; ",""))</f>
        <v/>
      </c>
      <c r="Q29" s="19"/>
    </row>
    <row r="30" customFormat="false" ht="15" hidden="false" customHeight="false" outlineLevel="0" collapsed="false">
      <c r="A30" s="19"/>
      <c r="B30" s="19"/>
      <c r="C30" s="19"/>
      <c r="D30" s="19"/>
      <c r="E30" s="18" t="str">
        <f aca="false">IF(A30="","",IFERROR(INDEX(Parts!$C$6:$C$45,MATCH(A30,Parts!$A$6:$A$45,0)),""))</f>
        <v/>
      </c>
      <c r="F30" s="18" t="str">
        <f aca="false">IF(A30="","",COUNTIFS('Tray log'!$F$7:$F$306,$A30,'Tray log'!$G$7:$G$306,$B30,'Tray log'!$H$7:$H$306,$C30,'Tray log'!$S$7:$S$306,IF($D30="Y","?*",""))+COUNTIFS('Tray log'!$K$7:$K$306,$A30,'Tray log'!$L$7:$L$306,$B30,'Tray log'!$M$7:$M$306,$C30,'Tray log'!$S$7:$S$306,IF($D30="Y","?*","")))</f>
        <v/>
      </c>
      <c r="G30" s="18" t="str">
        <f aca="false">IF(A30="","",SUMIFS('Tray log'!$J$7:$J$306,'Tray log'!$F$7:$F$306,$A30,'Tray log'!$G$7:$G$306,$B30,'Tray log'!$H$7:$H$306,$C30,'Tray log'!$S$7:$S$306,IF($D30="Y","?*",""))+SUMIFS('Tray log'!$N$7:$N$306,'Tray log'!$K$7:$K$306,$A30,'Tray log'!$L$7:$L$306,$B30,'Tray log'!$M$7:$M$306,$C30,'Tray log'!$S$7:$S$306,IF($D30="Y","?*","")))</f>
        <v/>
      </c>
      <c r="H30" s="24" t="str">
        <f aca="false">IF(A30="","",G30*IFERROR(INDEX(Parts!$F$6:$F$45,MATCH(A30,Parts!$A$6:$A$45,0)),0))</f>
        <v/>
      </c>
      <c r="I30" s="18" t="str">
        <f aca="false">IF(A30="","",SUMIFS('Tray log'!$J$7:$J$306,'Tray log'!$F$7:$F$306,$A30,'Tray log'!$G$7:$G$306,$B30,'Tray log'!$H$7:$H$306,$C30,'Tray log'!$S$7:$S$306,IF($D30="Y","?*",""),'Tray log'!$Y$7:$Y$306,Report!$B$7)+SUMIFS('Tray log'!$N$7:$N$306,'Tray log'!$K$7:$K$306,$A30,'Tray log'!$L$7:$L$306,$B30,'Tray log'!$M$7:$M$306,$C30,'Tray log'!$S$7:$S$306,IF($D30="Y","?*",""),'Tray log'!$Y$7:$Y$306,Report!$B$7))</f>
        <v/>
      </c>
      <c r="J30" s="22" t="str">
        <f aca="false">IF(OR(A30="",COUNTIFS('Tray log'!$F$7:$F$306,$A30,'Tray log'!$G$7:$G$306,$B30,'Tray log'!$H$7:$H$306,$C30,'Tray log'!$S$7:$S$306,IF($D30="Y","?*",""))=0),"",_xlfn.MINIFS('Tray log'!$E$7:$E$306,'Tray log'!$F$7:$F$306,$A30,'Tray log'!$G$7:$G$306,$B30,'Tray log'!$H$7:$H$306,$C30,'Tray log'!$S$7:$S$306,IF($D30="Y","?*","")))</f>
        <v/>
      </c>
      <c r="K30" s="22" t="str">
        <f aca="false">IF(OR(A30="",COUNTIFS('Tray log'!$F$7:$F$306,$A30,'Tray log'!$G$7:$G$306,$B30,'Tray log'!$H$7:$H$306,$C30,'Tray log'!$S$7:$S$306,IF($D30="Y","?*",""))=0),"",_xlfn.MAXIFS('Tray log'!$W$7:$W$306,'Tray log'!$F$7:$F$306,$A30,'Tray log'!$G$7:$G$306,$B30,'Tray log'!$H$7:$H$306,$C30,'Tray log'!$S$7:$S$306,IF($D30="Y","?*","")))</f>
        <v/>
      </c>
      <c r="L30" s="20"/>
      <c r="M30" s="18" t="str">
        <f aca="false">IF(OR(L30="",K30=""),"",ROUND((L30-K30)*1440,0))</f>
        <v/>
      </c>
      <c r="N30" s="27"/>
      <c r="O30" s="28" t="str">
        <f aca="false">IF(OR(N30="",N(H30)=0),"",N30/H30-1)</f>
        <v/>
      </c>
      <c r="P30" s="18" t="str">
        <f aca="false">IF(A30="","",IF(F30=0,"no tray in the log; ","")&amp;IF(E30="","part not on the Parts sheet; ","")&amp;IF(OR(B30="",C30=""),"batch / heat missing (type N/A if not available); ","")&amp;IF(M30="","",IF(ABS(M30)&gt;Settings!$B$11,"exit differs from the calculated time; ",""))&amp;IF(AND(L30&lt;&gt;"",L30&lt;J30),"actual exit before the entry; ",""))</f>
        <v/>
      </c>
      <c r="Q30" s="19"/>
    </row>
    <row r="31" customFormat="false" ht="15" hidden="false" customHeight="false" outlineLevel="0" collapsed="false">
      <c r="A31" s="19"/>
      <c r="B31" s="19"/>
      <c r="C31" s="19"/>
      <c r="D31" s="19"/>
      <c r="E31" s="18" t="str">
        <f aca="false">IF(A31="","",IFERROR(INDEX(Parts!$C$6:$C$45,MATCH(A31,Parts!$A$6:$A$45,0)),""))</f>
        <v/>
      </c>
      <c r="F31" s="18" t="str">
        <f aca="false">IF(A31="","",COUNTIFS('Tray log'!$F$7:$F$306,$A31,'Tray log'!$G$7:$G$306,$B31,'Tray log'!$H$7:$H$306,$C31,'Tray log'!$S$7:$S$306,IF($D31="Y","?*",""))+COUNTIFS('Tray log'!$K$7:$K$306,$A31,'Tray log'!$L$7:$L$306,$B31,'Tray log'!$M$7:$M$306,$C31,'Tray log'!$S$7:$S$306,IF($D31="Y","?*","")))</f>
        <v/>
      </c>
      <c r="G31" s="18" t="str">
        <f aca="false">IF(A31="","",SUMIFS('Tray log'!$J$7:$J$306,'Tray log'!$F$7:$F$306,$A31,'Tray log'!$G$7:$G$306,$B31,'Tray log'!$H$7:$H$306,$C31,'Tray log'!$S$7:$S$306,IF($D31="Y","?*",""))+SUMIFS('Tray log'!$N$7:$N$306,'Tray log'!$K$7:$K$306,$A31,'Tray log'!$L$7:$L$306,$B31,'Tray log'!$M$7:$M$306,$C31,'Tray log'!$S$7:$S$306,IF($D31="Y","?*","")))</f>
        <v/>
      </c>
      <c r="H31" s="24" t="str">
        <f aca="false">IF(A31="","",G31*IFERROR(INDEX(Parts!$F$6:$F$45,MATCH(A31,Parts!$A$6:$A$45,0)),0))</f>
        <v/>
      </c>
      <c r="I31" s="18" t="str">
        <f aca="false">IF(A31="","",SUMIFS('Tray log'!$J$7:$J$306,'Tray log'!$F$7:$F$306,$A31,'Tray log'!$G$7:$G$306,$B31,'Tray log'!$H$7:$H$306,$C31,'Tray log'!$S$7:$S$306,IF($D31="Y","?*",""),'Tray log'!$Y$7:$Y$306,Report!$B$7)+SUMIFS('Tray log'!$N$7:$N$306,'Tray log'!$K$7:$K$306,$A31,'Tray log'!$L$7:$L$306,$B31,'Tray log'!$M$7:$M$306,$C31,'Tray log'!$S$7:$S$306,IF($D31="Y","?*",""),'Tray log'!$Y$7:$Y$306,Report!$B$7))</f>
        <v/>
      </c>
      <c r="J31" s="22" t="str">
        <f aca="false">IF(OR(A31="",COUNTIFS('Tray log'!$F$7:$F$306,$A31,'Tray log'!$G$7:$G$306,$B31,'Tray log'!$H$7:$H$306,$C31,'Tray log'!$S$7:$S$306,IF($D31="Y","?*",""))=0),"",_xlfn.MINIFS('Tray log'!$E$7:$E$306,'Tray log'!$F$7:$F$306,$A31,'Tray log'!$G$7:$G$306,$B31,'Tray log'!$H$7:$H$306,$C31,'Tray log'!$S$7:$S$306,IF($D31="Y","?*","")))</f>
        <v/>
      </c>
      <c r="K31" s="22" t="str">
        <f aca="false">IF(OR(A31="",COUNTIFS('Tray log'!$F$7:$F$306,$A31,'Tray log'!$G$7:$G$306,$B31,'Tray log'!$H$7:$H$306,$C31,'Tray log'!$S$7:$S$306,IF($D31="Y","?*",""))=0),"",_xlfn.MAXIFS('Tray log'!$W$7:$W$306,'Tray log'!$F$7:$F$306,$A31,'Tray log'!$G$7:$G$306,$B31,'Tray log'!$H$7:$H$306,$C31,'Tray log'!$S$7:$S$306,IF($D31="Y","?*","")))</f>
        <v/>
      </c>
      <c r="L31" s="20"/>
      <c r="M31" s="18" t="str">
        <f aca="false">IF(OR(L31="",K31=""),"",ROUND((L31-K31)*1440,0))</f>
        <v/>
      </c>
      <c r="N31" s="27"/>
      <c r="O31" s="28" t="str">
        <f aca="false">IF(OR(N31="",N(H31)=0),"",N31/H31-1)</f>
        <v/>
      </c>
      <c r="P31" s="18" t="str">
        <f aca="false">IF(A31="","",IF(F31=0,"no tray in the log; ","")&amp;IF(E31="","part not on the Parts sheet; ","")&amp;IF(OR(B31="",C31=""),"batch / heat missing (type N/A if not available); ","")&amp;IF(M31="","",IF(ABS(M31)&gt;Settings!$B$11,"exit differs from the calculated time; ",""))&amp;IF(AND(L31&lt;&gt;"",L31&lt;J31),"actual exit before the entry; ",""))</f>
        <v/>
      </c>
      <c r="Q31" s="19"/>
    </row>
    <row r="32" customFormat="false" ht="15" hidden="false" customHeight="false" outlineLevel="0" collapsed="false">
      <c r="A32" s="19"/>
      <c r="B32" s="19"/>
      <c r="C32" s="19"/>
      <c r="D32" s="19"/>
      <c r="E32" s="18" t="str">
        <f aca="false">IF(A32="","",IFERROR(INDEX(Parts!$C$6:$C$45,MATCH(A32,Parts!$A$6:$A$45,0)),""))</f>
        <v/>
      </c>
      <c r="F32" s="18" t="str">
        <f aca="false">IF(A32="","",COUNTIFS('Tray log'!$F$7:$F$306,$A32,'Tray log'!$G$7:$G$306,$B32,'Tray log'!$H$7:$H$306,$C32,'Tray log'!$S$7:$S$306,IF($D32="Y","?*",""))+COUNTIFS('Tray log'!$K$7:$K$306,$A32,'Tray log'!$L$7:$L$306,$B32,'Tray log'!$M$7:$M$306,$C32,'Tray log'!$S$7:$S$306,IF($D32="Y","?*","")))</f>
        <v/>
      </c>
      <c r="G32" s="18" t="str">
        <f aca="false">IF(A32="","",SUMIFS('Tray log'!$J$7:$J$306,'Tray log'!$F$7:$F$306,$A32,'Tray log'!$G$7:$G$306,$B32,'Tray log'!$H$7:$H$306,$C32,'Tray log'!$S$7:$S$306,IF($D32="Y","?*",""))+SUMIFS('Tray log'!$N$7:$N$306,'Tray log'!$K$7:$K$306,$A32,'Tray log'!$L$7:$L$306,$B32,'Tray log'!$M$7:$M$306,$C32,'Tray log'!$S$7:$S$306,IF($D32="Y","?*","")))</f>
        <v/>
      </c>
      <c r="H32" s="24" t="str">
        <f aca="false">IF(A32="","",G32*IFERROR(INDEX(Parts!$F$6:$F$45,MATCH(A32,Parts!$A$6:$A$45,0)),0))</f>
        <v/>
      </c>
      <c r="I32" s="18" t="str">
        <f aca="false">IF(A32="","",SUMIFS('Tray log'!$J$7:$J$306,'Tray log'!$F$7:$F$306,$A32,'Tray log'!$G$7:$G$306,$B32,'Tray log'!$H$7:$H$306,$C32,'Tray log'!$S$7:$S$306,IF($D32="Y","?*",""),'Tray log'!$Y$7:$Y$306,Report!$B$7)+SUMIFS('Tray log'!$N$7:$N$306,'Tray log'!$K$7:$K$306,$A32,'Tray log'!$L$7:$L$306,$B32,'Tray log'!$M$7:$M$306,$C32,'Tray log'!$S$7:$S$306,IF($D32="Y","?*",""),'Tray log'!$Y$7:$Y$306,Report!$B$7))</f>
        <v/>
      </c>
      <c r="J32" s="22" t="str">
        <f aca="false">IF(OR(A32="",COUNTIFS('Tray log'!$F$7:$F$306,$A32,'Tray log'!$G$7:$G$306,$B32,'Tray log'!$H$7:$H$306,$C32,'Tray log'!$S$7:$S$306,IF($D32="Y","?*",""))=0),"",_xlfn.MINIFS('Tray log'!$E$7:$E$306,'Tray log'!$F$7:$F$306,$A32,'Tray log'!$G$7:$G$306,$B32,'Tray log'!$H$7:$H$306,$C32,'Tray log'!$S$7:$S$306,IF($D32="Y","?*","")))</f>
        <v/>
      </c>
      <c r="K32" s="22" t="str">
        <f aca="false">IF(OR(A32="",COUNTIFS('Tray log'!$F$7:$F$306,$A32,'Tray log'!$G$7:$G$306,$B32,'Tray log'!$H$7:$H$306,$C32,'Tray log'!$S$7:$S$306,IF($D32="Y","?*",""))=0),"",_xlfn.MAXIFS('Tray log'!$W$7:$W$306,'Tray log'!$F$7:$F$306,$A32,'Tray log'!$G$7:$G$306,$B32,'Tray log'!$H$7:$H$306,$C32,'Tray log'!$S$7:$S$306,IF($D32="Y","?*","")))</f>
        <v/>
      </c>
      <c r="L32" s="20"/>
      <c r="M32" s="18" t="str">
        <f aca="false">IF(OR(L32="",K32=""),"",ROUND((L32-K32)*1440,0))</f>
        <v/>
      </c>
      <c r="N32" s="27"/>
      <c r="O32" s="28" t="str">
        <f aca="false">IF(OR(N32="",N(H32)=0),"",N32/H32-1)</f>
        <v/>
      </c>
      <c r="P32" s="18" t="str">
        <f aca="false">IF(A32="","",IF(F32=0,"no tray in the log; ","")&amp;IF(E32="","part not on the Parts sheet; ","")&amp;IF(OR(B32="",C32=""),"batch / heat missing (type N/A if not available); ","")&amp;IF(M32="","",IF(ABS(M32)&gt;Settings!$B$11,"exit differs from the calculated time; ",""))&amp;IF(AND(L32&lt;&gt;"",L32&lt;J32),"actual exit before the entry; ",""))</f>
        <v/>
      </c>
      <c r="Q32" s="19"/>
    </row>
    <row r="33" customFormat="false" ht="15" hidden="false" customHeight="false" outlineLevel="0" collapsed="false">
      <c r="A33" s="19"/>
      <c r="B33" s="19"/>
      <c r="C33" s="19"/>
      <c r="D33" s="19"/>
      <c r="E33" s="18" t="str">
        <f aca="false">IF(A33="","",IFERROR(INDEX(Parts!$C$6:$C$45,MATCH(A33,Parts!$A$6:$A$45,0)),""))</f>
        <v/>
      </c>
      <c r="F33" s="18" t="str">
        <f aca="false">IF(A33="","",COUNTIFS('Tray log'!$F$7:$F$306,$A33,'Tray log'!$G$7:$G$306,$B33,'Tray log'!$H$7:$H$306,$C33,'Tray log'!$S$7:$S$306,IF($D33="Y","?*",""))+COUNTIFS('Tray log'!$K$7:$K$306,$A33,'Tray log'!$L$7:$L$306,$B33,'Tray log'!$M$7:$M$306,$C33,'Tray log'!$S$7:$S$306,IF($D33="Y","?*","")))</f>
        <v/>
      </c>
      <c r="G33" s="18" t="str">
        <f aca="false">IF(A33="","",SUMIFS('Tray log'!$J$7:$J$306,'Tray log'!$F$7:$F$306,$A33,'Tray log'!$G$7:$G$306,$B33,'Tray log'!$H$7:$H$306,$C33,'Tray log'!$S$7:$S$306,IF($D33="Y","?*",""))+SUMIFS('Tray log'!$N$7:$N$306,'Tray log'!$K$7:$K$306,$A33,'Tray log'!$L$7:$L$306,$B33,'Tray log'!$M$7:$M$306,$C33,'Tray log'!$S$7:$S$306,IF($D33="Y","?*","")))</f>
        <v/>
      </c>
      <c r="H33" s="24" t="str">
        <f aca="false">IF(A33="","",G33*IFERROR(INDEX(Parts!$F$6:$F$45,MATCH(A33,Parts!$A$6:$A$45,0)),0))</f>
        <v/>
      </c>
      <c r="I33" s="18" t="str">
        <f aca="false">IF(A33="","",SUMIFS('Tray log'!$J$7:$J$306,'Tray log'!$F$7:$F$306,$A33,'Tray log'!$G$7:$G$306,$B33,'Tray log'!$H$7:$H$306,$C33,'Tray log'!$S$7:$S$306,IF($D33="Y","?*",""),'Tray log'!$Y$7:$Y$306,Report!$B$7)+SUMIFS('Tray log'!$N$7:$N$306,'Tray log'!$K$7:$K$306,$A33,'Tray log'!$L$7:$L$306,$B33,'Tray log'!$M$7:$M$306,$C33,'Tray log'!$S$7:$S$306,IF($D33="Y","?*",""),'Tray log'!$Y$7:$Y$306,Report!$B$7))</f>
        <v/>
      </c>
      <c r="J33" s="22" t="str">
        <f aca="false">IF(OR(A33="",COUNTIFS('Tray log'!$F$7:$F$306,$A33,'Tray log'!$G$7:$G$306,$B33,'Tray log'!$H$7:$H$306,$C33,'Tray log'!$S$7:$S$306,IF($D33="Y","?*",""))=0),"",_xlfn.MINIFS('Tray log'!$E$7:$E$306,'Tray log'!$F$7:$F$306,$A33,'Tray log'!$G$7:$G$306,$B33,'Tray log'!$H$7:$H$306,$C33,'Tray log'!$S$7:$S$306,IF($D33="Y","?*","")))</f>
        <v/>
      </c>
      <c r="K33" s="22" t="str">
        <f aca="false">IF(OR(A33="",COUNTIFS('Tray log'!$F$7:$F$306,$A33,'Tray log'!$G$7:$G$306,$B33,'Tray log'!$H$7:$H$306,$C33,'Tray log'!$S$7:$S$306,IF($D33="Y","?*",""))=0),"",_xlfn.MAXIFS('Tray log'!$W$7:$W$306,'Tray log'!$F$7:$F$306,$A33,'Tray log'!$G$7:$G$306,$B33,'Tray log'!$H$7:$H$306,$C33,'Tray log'!$S$7:$S$306,IF($D33="Y","?*","")))</f>
        <v/>
      </c>
      <c r="L33" s="20"/>
      <c r="M33" s="18" t="str">
        <f aca="false">IF(OR(L33="",K33=""),"",ROUND((L33-K33)*1440,0))</f>
        <v/>
      </c>
      <c r="N33" s="27"/>
      <c r="O33" s="28" t="str">
        <f aca="false">IF(OR(N33="",N(H33)=0),"",N33/H33-1)</f>
        <v/>
      </c>
      <c r="P33" s="18" t="str">
        <f aca="false">IF(A33="","",IF(F33=0,"no tray in the log; ","")&amp;IF(E33="","part not on the Parts sheet; ","")&amp;IF(OR(B33="",C33=""),"batch / heat missing (type N/A if not available); ","")&amp;IF(M33="","",IF(ABS(M33)&gt;Settings!$B$11,"exit differs from the calculated time; ",""))&amp;IF(AND(L33&lt;&gt;"",L33&lt;J33),"actual exit before the entry; ",""))</f>
        <v/>
      </c>
      <c r="Q33" s="19"/>
    </row>
    <row r="34" customFormat="false" ht="15" hidden="false" customHeight="false" outlineLevel="0" collapsed="false">
      <c r="A34" s="19"/>
      <c r="B34" s="19"/>
      <c r="C34" s="19"/>
      <c r="D34" s="19"/>
      <c r="E34" s="18" t="str">
        <f aca="false">IF(A34="","",IFERROR(INDEX(Parts!$C$6:$C$45,MATCH(A34,Parts!$A$6:$A$45,0)),""))</f>
        <v/>
      </c>
      <c r="F34" s="18" t="str">
        <f aca="false">IF(A34="","",COUNTIFS('Tray log'!$F$7:$F$306,$A34,'Tray log'!$G$7:$G$306,$B34,'Tray log'!$H$7:$H$306,$C34,'Tray log'!$S$7:$S$306,IF($D34="Y","?*",""))+COUNTIFS('Tray log'!$K$7:$K$306,$A34,'Tray log'!$L$7:$L$306,$B34,'Tray log'!$M$7:$M$306,$C34,'Tray log'!$S$7:$S$306,IF($D34="Y","?*","")))</f>
        <v/>
      </c>
      <c r="G34" s="18" t="str">
        <f aca="false">IF(A34="","",SUMIFS('Tray log'!$J$7:$J$306,'Tray log'!$F$7:$F$306,$A34,'Tray log'!$G$7:$G$306,$B34,'Tray log'!$H$7:$H$306,$C34,'Tray log'!$S$7:$S$306,IF($D34="Y","?*",""))+SUMIFS('Tray log'!$N$7:$N$306,'Tray log'!$K$7:$K$306,$A34,'Tray log'!$L$7:$L$306,$B34,'Tray log'!$M$7:$M$306,$C34,'Tray log'!$S$7:$S$306,IF($D34="Y","?*","")))</f>
        <v/>
      </c>
      <c r="H34" s="24" t="str">
        <f aca="false">IF(A34="","",G34*IFERROR(INDEX(Parts!$F$6:$F$45,MATCH(A34,Parts!$A$6:$A$45,0)),0))</f>
        <v/>
      </c>
      <c r="I34" s="18" t="str">
        <f aca="false">IF(A34="","",SUMIFS('Tray log'!$J$7:$J$306,'Tray log'!$F$7:$F$306,$A34,'Tray log'!$G$7:$G$306,$B34,'Tray log'!$H$7:$H$306,$C34,'Tray log'!$S$7:$S$306,IF($D34="Y","?*",""),'Tray log'!$Y$7:$Y$306,Report!$B$7)+SUMIFS('Tray log'!$N$7:$N$306,'Tray log'!$K$7:$K$306,$A34,'Tray log'!$L$7:$L$306,$B34,'Tray log'!$M$7:$M$306,$C34,'Tray log'!$S$7:$S$306,IF($D34="Y","?*",""),'Tray log'!$Y$7:$Y$306,Report!$B$7))</f>
        <v/>
      </c>
      <c r="J34" s="22" t="str">
        <f aca="false">IF(OR(A34="",COUNTIFS('Tray log'!$F$7:$F$306,$A34,'Tray log'!$G$7:$G$306,$B34,'Tray log'!$H$7:$H$306,$C34,'Tray log'!$S$7:$S$306,IF($D34="Y","?*",""))=0),"",_xlfn.MINIFS('Tray log'!$E$7:$E$306,'Tray log'!$F$7:$F$306,$A34,'Tray log'!$G$7:$G$306,$B34,'Tray log'!$H$7:$H$306,$C34,'Tray log'!$S$7:$S$306,IF($D34="Y","?*","")))</f>
        <v/>
      </c>
      <c r="K34" s="22" t="str">
        <f aca="false">IF(OR(A34="",COUNTIFS('Tray log'!$F$7:$F$306,$A34,'Tray log'!$G$7:$G$306,$B34,'Tray log'!$H$7:$H$306,$C34,'Tray log'!$S$7:$S$306,IF($D34="Y","?*",""))=0),"",_xlfn.MAXIFS('Tray log'!$W$7:$W$306,'Tray log'!$F$7:$F$306,$A34,'Tray log'!$G$7:$G$306,$B34,'Tray log'!$H$7:$H$306,$C34,'Tray log'!$S$7:$S$306,IF($D34="Y","?*","")))</f>
        <v/>
      </c>
      <c r="L34" s="20"/>
      <c r="M34" s="18" t="str">
        <f aca="false">IF(OR(L34="",K34=""),"",ROUND((L34-K34)*1440,0))</f>
        <v/>
      </c>
      <c r="N34" s="27"/>
      <c r="O34" s="28" t="str">
        <f aca="false">IF(OR(N34="",N(H34)=0),"",N34/H34-1)</f>
        <v/>
      </c>
      <c r="P34" s="18" t="str">
        <f aca="false">IF(A34="","",IF(F34=0,"no tray in the log; ","")&amp;IF(E34="","part not on the Parts sheet; ","")&amp;IF(OR(B34="",C34=""),"batch / heat missing (type N/A if not available); ","")&amp;IF(M34="","",IF(ABS(M34)&gt;Settings!$B$11,"exit differs from the calculated time; ",""))&amp;IF(AND(L34&lt;&gt;"",L34&lt;J34),"actual exit before the entry; ",""))</f>
        <v/>
      </c>
      <c r="Q34" s="19"/>
    </row>
    <row r="35" customFormat="false" ht="15" hidden="false" customHeight="false" outlineLevel="0" collapsed="false">
      <c r="A35" s="19"/>
      <c r="B35" s="19"/>
      <c r="C35" s="19"/>
      <c r="D35" s="19"/>
      <c r="E35" s="18" t="str">
        <f aca="false">IF(A35="","",IFERROR(INDEX(Parts!$C$6:$C$45,MATCH(A35,Parts!$A$6:$A$45,0)),""))</f>
        <v/>
      </c>
      <c r="F35" s="18" t="str">
        <f aca="false">IF(A35="","",COUNTIFS('Tray log'!$F$7:$F$306,$A35,'Tray log'!$G$7:$G$306,$B35,'Tray log'!$H$7:$H$306,$C35,'Tray log'!$S$7:$S$306,IF($D35="Y","?*",""))+COUNTIFS('Tray log'!$K$7:$K$306,$A35,'Tray log'!$L$7:$L$306,$B35,'Tray log'!$M$7:$M$306,$C35,'Tray log'!$S$7:$S$306,IF($D35="Y","?*","")))</f>
        <v/>
      </c>
      <c r="G35" s="18" t="str">
        <f aca="false">IF(A35="","",SUMIFS('Tray log'!$J$7:$J$306,'Tray log'!$F$7:$F$306,$A35,'Tray log'!$G$7:$G$306,$B35,'Tray log'!$H$7:$H$306,$C35,'Tray log'!$S$7:$S$306,IF($D35="Y","?*",""))+SUMIFS('Tray log'!$N$7:$N$306,'Tray log'!$K$7:$K$306,$A35,'Tray log'!$L$7:$L$306,$B35,'Tray log'!$M$7:$M$306,$C35,'Tray log'!$S$7:$S$306,IF($D35="Y","?*","")))</f>
        <v/>
      </c>
      <c r="H35" s="24" t="str">
        <f aca="false">IF(A35="","",G35*IFERROR(INDEX(Parts!$F$6:$F$45,MATCH(A35,Parts!$A$6:$A$45,0)),0))</f>
        <v/>
      </c>
      <c r="I35" s="18" t="str">
        <f aca="false">IF(A35="","",SUMIFS('Tray log'!$J$7:$J$306,'Tray log'!$F$7:$F$306,$A35,'Tray log'!$G$7:$G$306,$B35,'Tray log'!$H$7:$H$306,$C35,'Tray log'!$S$7:$S$306,IF($D35="Y","?*",""),'Tray log'!$Y$7:$Y$306,Report!$B$7)+SUMIFS('Tray log'!$N$7:$N$306,'Tray log'!$K$7:$K$306,$A35,'Tray log'!$L$7:$L$306,$B35,'Tray log'!$M$7:$M$306,$C35,'Tray log'!$S$7:$S$306,IF($D35="Y","?*",""),'Tray log'!$Y$7:$Y$306,Report!$B$7))</f>
        <v/>
      </c>
      <c r="J35" s="22" t="str">
        <f aca="false">IF(OR(A35="",COUNTIFS('Tray log'!$F$7:$F$306,$A35,'Tray log'!$G$7:$G$306,$B35,'Tray log'!$H$7:$H$306,$C35,'Tray log'!$S$7:$S$306,IF($D35="Y","?*",""))=0),"",_xlfn.MINIFS('Tray log'!$E$7:$E$306,'Tray log'!$F$7:$F$306,$A35,'Tray log'!$G$7:$G$306,$B35,'Tray log'!$H$7:$H$306,$C35,'Tray log'!$S$7:$S$306,IF($D35="Y","?*","")))</f>
        <v/>
      </c>
      <c r="K35" s="22" t="str">
        <f aca="false">IF(OR(A35="",COUNTIFS('Tray log'!$F$7:$F$306,$A35,'Tray log'!$G$7:$G$306,$B35,'Tray log'!$H$7:$H$306,$C35,'Tray log'!$S$7:$S$306,IF($D35="Y","?*",""))=0),"",_xlfn.MAXIFS('Tray log'!$W$7:$W$306,'Tray log'!$F$7:$F$306,$A35,'Tray log'!$G$7:$G$306,$B35,'Tray log'!$H$7:$H$306,$C35,'Tray log'!$S$7:$S$306,IF($D35="Y","?*","")))</f>
        <v/>
      </c>
      <c r="L35" s="20"/>
      <c r="M35" s="18" t="str">
        <f aca="false">IF(OR(L35="",K35=""),"",ROUND((L35-K35)*1440,0))</f>
        <v/>
      </c>
      <c r="N35" s="27"/>
      <c r="O35" s="28" t="str">
        <f aca="false">IF(OR(N35="",N(H35)=0),"",N35/H35-1)</f>
        <v/>
      </c>
      <c r="P35" s="18" t="str">
        <f aca="false">IF(A35="","",IF(F35=0,"no tray in the log; ","")&amp;IF(E35="","part not on the Parts sheet; ","")&amp;IF(OR(B35="",C35=""),"batch / heat missing (type N/A if not available); ","")&amp;IF(M35="","",IF(ABS(M35)&gt;Settings!$B$11,"exit differs from the calculated time; ",""))&amp;IF(AND(L35&lt;&gt;"",L35&lt;J35),"actual exit before the entry; ",""))</f>
        <v/>
      </c>
      <c r="Q35" s="19"/>
    </row>
    <row r="36" customFormat="false" ht="15" hidden="false" customHeight="false" outlineLevel="0" collapsed="false">
      <c r="A36" s="19"/>
      <c r="B36" s="19"/>
      <c r="C36" s="19"/>
      <c r="D36" s="19"/>
      <c r="E36" s="18" t="str">
        <f aca="false">IF(A36="","",IFERROR(INDEX(Parts!$C$6:$C$45,MATCH(A36,Parts!$A$6:$A$45,0)),""))</f>
        <v/>
      </c>
      <c r="F36" s="18" t="str">
        <f aca="false">IF(A36="","",COUNTIFS('Tray log'!$F$7:$F$306,$A36,'Tray log'!$G$7:$G$306,$B36,'Tray log'!$H$7:$H$306,$C36,'Tray log'!$S$7:$S$306,IF($D36="Y","?*",""))+COUNTIFS('Tray log'!$K$7:$K$306,$A36,'Tray log'!$L$7:$L$306,$B36,'Tray log'!$M$7:$M$306,$C36,'Tray log'!$S$7:$S$306,IF($D36="Y","?*","")))</f>
        <v/>
      </c>
      <c r="G36" s="18" t="str">
        <f aca="false">IF(A36="","",SUMIFS('Tray log'!$J$7:$J$306,'Tray log'!$F$7:$F$306,$A36,'Tray log'!$G$7:$G$306,$B36,'Tray log'!$H$7:$H$306,$C36,'Tray log'!$S$7:$S$306,IF($D36="Y","?*",""))+SUMIFS('Tray log'!$N$7:$N$306,'Tray log'!$K$7:$K$306,$A36,'Tray log'!$L$7:$L$306,$B36,'Tray log'!$M$7:$M$306,$C36,'Tray log'!$S$7:$S$306,IF($D36="Y","?*","")))</f>
        <v/>
      </c>
      <c r="H36" s="24" t="str">
        <f aca="false">IF(A36="","",G36*IFERROR(INDEX(Parts!$F$6:$F$45,MATCH(A36,Parts!$A$6:$A$45,0)),0))</f>
        <v/>
      </c>
      <c r="I36" s="18" t="str">
        <f aca="false">IF(A36="","",SUMIFS('Tray log'!$J$7:$J$306,'Tray log'!$F$7:$F$306,$A36,'Tray log'!$G$7:$G$306,$B36,'Tray log'!$H$7:$H$306,$C36,'Tray log'!$S$7:$S$306,IF($D36="Y","?*",""),'Tray log'!$Y$7:$Y$306,Report!$B$7)+SUMIFS('Tray log'!$N$7:$N$306,'Tray log'!$K$7:$K$306,$A36,'Tray log'!$L$7:$L$306,$B36,'Tray log'!$M$7:$M$306,$C36,'Tray log'!$S$7:$S$306,IF($D36="Y","?*",""),'Tray log'!$Y$7:$Y$306,Report!$B$7))</f>
        <v/>
      </c>
      <c r="J36" s="22" t="str">
        <f aca="false">IF(OR(A36="",COUNTIFS('Tray log'!$F$7:$F$306,$A36,'Tray log'!$G$7:$G$306,$B36,'Tray log'!$H$7:$H$306,$C36,'Tray log'!$S$7:$S$306,IF($D36="Y","?*",""))=0),"",_xlfn.MINIFS('Tray log'!$E$7:$E$306,'Tray log'!$F$7:$F$306,$A36,'Tray log'!$G$7:$G$306,$B36,'Tray log'!$H$7:$H$306,$C36,'Tray log'!$S$7:$S$306,IF($D36="Y","?*","")))</f>
        <v/>
      </c>
      <c r="K36" s="22" t="str">
        <f aca="false">IF(OR(A36="",COUNTIFS('Tray log'!$F$7:$F$306,$A36,'Tray log'!$G$7:$G$306,$B36,'Tray log'!$H$7:$H$306,$C36,'Tray log'!$S$7:$S$306,IF($D36="Y","?*",""))=0),"",_xlfn.MAXIFS('Tray log'!$W$7:$W$306,'Tray log'!$F$7:$F$306,$A36,'Tray log'!$G$7:$G$306,$B36,'Tray log'!$H$7:$H$306,$C36,'Tray log'!$S$7:$S$306,IF($D36="Y","?*","")))</f>
        <v/>
      </c>
      <c r="L36" s="20"/>
      <c r="M36" s="18" t="str">
        <f aca="false">IF(OR(L36="",K36=""),"",ROUND((L36-K36)*1440,0))</f>
        <v/>
      </c>
      <c r="N36" s="27"/>
      <c r="O36" s="28" t="str">
        <f aca="false">IF(OR(N36="",N(H36)=0),"",N36/H36-1)</f>
        <v/>
      </c>
      <c r="P36" s="18" t="str">
        <f aca="false">IF(A36="","",IF(F36=0,"no tray in the log; ","")&amp;IF(E36="","part not on the Parts sheet; ","")&amp;IF(OR(B36="",C36=""),"batch / heat missing (type N/A if not available); ","")&amp;IF(M36="","",IF(ABS(M36)&gt;Settings!$B$11,"exit differs from the calculated time; ",""))&amp;IF(AND(L36&lt;&gt;"",L36&lt;J36),"actual exit before the entry; ",""))</f>
        <v/>
      </c>
      <c r="Q36" s="19"/>
    </row>
    <row r="37" customFormat="false" ht="15" hidden="false" customHeight="false" outlineLevel="0" collapsed="false">
      <c r="A37" s="19"/>
      <c r="B37" s="19"/>
      <c r="C37" s="19"/>
      <c r="D37" s="19"/>
      <c r="E37" s="18" t="str">
        <f aca="false">IF(A37="","",IFERROR(INDEX(Parts!$C$6:$C$45,MATCH(A37,Parts!$A$6:$A$45,0)),""))</f>
        <v/>
      </c>
      <c r="F37" s="18" t="str">
        <f aca="false">IF(A37="","",COUNTIFS('Tray log'!$F$7:$F$306,$A37,'Tray log'!$G$7:$G$306,$B37,'Tray log'!$H$7:$H$306,$C37,'Tray log'!$S$7:$S$306,IF($D37="Y","?*",""))+COUNTIFS('Tray log'!$K$7:$K$306,$A37,'Tray log'!$L$7:$L$306,$B37,'Tray log'!$M$7:$M$306,$C37,'Tray log'!$S$7:$S$306,IF($D37="Y","?*","")))</f>
        <v/>
      </c>
      <c r="G37" s="18" t="str">
        <f aca="false">IF(A37="","",SUMIFS('Tray log'!$J$7:$J$306,'Tray log'!$F$7:$F$306,$A37,'Tray log'!$G$7:$G$306,$B37,'Tray log'!$H$7:$H$306,$C37,'Tray log'!$S$7:$S$306,IF($D37="Y","?*",""))+SUMIFS('Tray log'!$N$7:$N$306,'Tray log'!$K$7:$K$306,$A37,'Tray log'!$L$7:$L$306,$B37,'Tray log'!$M$7:$M$306,$C37,'Tray log'!$S$7:$S$306,IF($D37="Y","?*","")))</f>
        <v/>
      </c>
      <c r="H37" s="24" t="str">
        <f aca="false">IF(A37="","",G37*IFERROR(INDEX(Parts!$F$6:$F$45,MATCH(A37,Parts!$A$6:$A$45,0)),0))</f>
        <v/>
      </c>
      <c r="I37" s="18" t="str">
        <f aca="false">IF(A37="","",SUMIFS('Tray log'!$J$7:$J$306,'Tray log'!$F$7:$F$306,$A37,'Tray log'!$G$7:$G$306,$B37,'Tray log'!$H$7:$H$306,$C37,'Tray log'!$S$7:$S$306,IF($D37="Y","?*",""),'Tray log'!$Y$7:$Y$306,Report!$B$7)+SUMIFS('Tray log'!$N$7:$N$306,'Tray log'!$K$7:$K$306,$A37,'Tray log'!$L$7:$L$306,$B37,'Tray log'!$M$7:$M$306,$C37,'Tray log'!$S$7:$S$306,IF($D37="Y","?*",""),'Tray log'!$Y$7:$Y$306,Report!$B$7))</f>
        <v/>
      </c>
      <c r="J37" s="22" t="str">
        <f aca="false">IF(OR(A37="",COUNTIFS('Tray log'!$F$7:$F$306,$A37,'Tray log'!$G$7:$G$306,$B37,'Tray log'!$H$7:$H$306,$C37,'Tray log'!$S$7:$S$306,IF($D37="Y","?*",""))=0),"",_xlfn.MINIFS('Tray log'!$E$7:$E$306,'Tray log'!$F$7:$F$306,$A37,'Tray log'!$G$7:$G$306,$B37,'Tray log'!$H$7:$H$306,$C37,'Tray log'!$S$7:$S$306,IF($D37="Y","?*","")))</f>
        <v/>
      </c>
      <c r="K37" s="22" t="str">
        <f aca="false">IF(OR(A37="",COUNTIFS('Tray log'!$F$7:$F$306,$A37,'Tray log'!$G$7:$G$306,$B37,'Tray log'!$H$7:$H$306,$C37,'Tray log'!$S$7:$S$306,IF($D37="Y","?*",""))=0),"",_xlfn.MAXIFS('Tray log'!$W$7:$W$306,'Tray log'!$F$7:$F$306,$A37,'Tray log'!$G$7:$G$306,$B37,'Tray log'!$H$7:$H$306,$C37,'Tray log'!$S$7:$S$306,IF($D37="Y","?*","")))</f>
        <v/>
      </c>
      <c r="L37" s="20"/>
      <c r="M37" s="18" t="str">
        <f aca="false">IF(OR(L37="",K37=""),"",ROUND((L37-K37)*1440,0))</f>
        <v/>
      </c>
      <c r="N37" s="27"/>
      <c r="O37" s="28" t="str">
        <f aca="false">IF(OR(N37="",N(H37)=0),"",N37/H37-1)</f>
        <v/>
      </c>
      <c r="P37" s="18" t="str">
        <f aca="false">IF(A37="","",IF(F37=0,"no tray in the log; ","")&amp;IF(E37="","part not on the Parts sheet; ","")&amp;IF(OR(B37="",C37=""),"batch / heat missing (type N/A if not available); ","")&amp;IF(M37="","",IF(ABS(M37)&gt;Settings!$B$11,"exit differs from the calculated time; ",""))&amp;IF(AND(L37&lt;&gt;"",L37&lt;J37),"actual exit before the entry; ",""))</f>
        <v/>
      </c>
      <c r="Q37" s="19"/>
    </row>
    <row r="38" customFormat="false" ht="15" hidden="false" customHeight="false" outlineLevel="0" collapsed="false">
      <c r="A38" s="19"/>
      <c r="B38" s="19"/>
      <c r="C38" s="19"/>
      <c r="D38" s="19"/>
      <c r="E38" s="18" t="str">
        <f aca="false">IF(A38="","",IFERROR(INDEX(Parts!$C$6:$C$45,MATCH(A38,Parts!$A$6:$A$45,0)),""))</f>
        <v/>
      </c>
      <c r="F38" s="18" t="str">
        <f aca="false">IF(A38="","",COUNTIFS('Tray log'!$F$7:$F$306,$A38,'Tray log'!$G$7:$G$306,$B38,'Tray log'!$H$7:$H$306,$C38,'Tray log'!$S$7:$S$306,IF($D38="Y","?*",""))+COUNTIFS('Tray log'!$K$7:$K$306,$A38,'Tray log'!$L$7:$L$306,$B38,'Tray log'!$M$7:$M$306,$C38,'Tray log'!$S$7:$S$306,IF($D38="Y","?*","")))</f>
        <v/>
      </c>
      <c r="G38" s="18" t="str">
        <f aca="false">IF(A38="","",SUMIFS('Tray log'!$J$7:$J$306,'Tray log'!$F$7:$F$306,$A38,'Tray log'!$G$7:$G$306,$B38,'Tray log'!$H$7:$H$306,$C38,'Tray log'!$S$7:$S$306,IF($D38="Y","?*",""))+SUMIFS('Tray log'!$N$7:$N$306,'Tray log'!$K$7:$K$306,$A38,'Tray log'!$L$7:$L$306,$B38,'Tray log'!$M$7:$M$306,$C38,'Tray log'!$S$7:$S$306,IF($D38="Y","?*","")))</f>
        <v/>
      </c>
      <c r="H38" s="24" t="str">
        <f aca="false">IF(A38="","",G38*IFERROR(INDEX(Parts!$F$6:$F$45,MATCH(A38,Parts!$A$6:$A$45,0)),0))</f>
        <v/>
      </c>
      <c r="I38" s="18" t="str">
        <f aca="false">IF(A38="","",SUMIFS('Tray log'!$J$7:$J$306,'Tray log'!$F$7:$F$306,$A38,'Tray log'!$G$7:$G$306,$B38,'Tray log'!$H$7:$H$306,$C38,'Tray log'!$S$7:$S$306,IF($D38="Y","?*",""),'Tray log'!$Y$7:$Y$306,Report!$B$7)+SUMIFS('Tray log'!$N$7:$N$306,'Tray log'!$K$7:$K$306,$A38,'Tray log'!$L$7:$L$306,$B38,'Tray log'!$M$7:$M$306,$C38,'Tray log'!$S$7:$S$306,IF($D38="Y","?*",""),'Tray log'!$Y$7:$Y$306,Report!$B$7))</f>
        <v/>
      </c>
      <c r="J38" s="22" t="str">
        <f aca="false">IF(OR(A38="",COUNTIFS('Tray log'!$F$7:$F$306,$A38,'Tray log'!$G$7:$G$306,$B38,'Tray log'!$H$7:$H$306,$C38,'Tray log'!$S$7:$S$306,IF($D38="Y","?*",""))=0),"",_xlfn.MINIFS('Tray log'!$E$7:$E$306,'Tray log'!$F$7:$F$306,$A38,'Tray log'!$G$7:$G$306,$B38,'Tray log'!$H$7:$H$306,$C38,'Tray log'!$S$7:$S$306,IF($D38="Y","?*","")))</f>
        <v/>
      </c>
      <c r="K38" s="22" t="str">
        <f aca="false">IF(OR(A38="",COUNTIFS('Tray log'!$F$7:$F$306,$A38,'Tray log'!$G$7:$G$306,$B38,'Tray log'!$H$7:$H$306,$C38,'Tray log'!$S$7:$S$306,IF($D38="Y","?*",""))=0),"",_xlfn.MAXIFS('Tray log'!$W$7:$W$306,'Tray log'!$F$7:$F$306,$A38,'Tray log'!$G$7:$G$306,$B38,'Tray log'!$H$7:$H$306,$C38,'Tray log'!$S$7:$S$306,IF($D38="Y","?*","")))</f>
        <v/>
      </c>
      <c r="L38" s="20"/>
      <c r="M38" s="18" t="str">
        <f aca="false">IF(OR(L38="",K38=""),"",ROUND((L38-K38)*1440,0))</f>
        <v/>
      </c>
      <c r="N38" s="27"/>
      <c r="O38" s="28" t="str">
        <f aca="false">IF(OR(N38="",N(H38)=0),"",N38/H38-1)</f>
        <v/>
      </c>
      <c r="P38" s="18" t="str">
        <f aca="false">IF(A38="","",IF(F38=0,"no tray in the log; ","")&amp;IF(E38="","part not on the Parts sheet; ","")&amp;IF(OR(B38="",C38=""),"batch / heat missing (type N/A if not available); ","")&amp;IF(M38="","",IF(ABS(M38)&gt;Settings!$B$11,"exit differs from the calculated time; ",""))&amp;IF(AND(L38&lt;&gt;"",L38&lt;J38),"actual exit before the entry; ",""))</f>
        <v/>
      </c>
      <c r="Q38" s="19"/>
    </row>
    <row r="39" customFormat="false" ht="15" hidden="false" customHeight="false" outlineLevel="0" collapsed="false">
      <c r="A39" s="19"/>
      <c r="B39" s="19"/>
      <c r="C39" s="19"/>
      <c r="D39" s="19"/>
      <c r="E39" s="18" t="str">
        <f aca="false">IF(A39="","",IFERROR(INDEX(Parts!$C$6:$C$45,MATCH(A39,Parts!$A$6:$A$45,0)),""))</f>
        <v/>
      </c>
      <c r="F39" s="18" t="str">
        <f aca="false">IF(A39="","",COUNTIFS('Tray log'!$F$7:$F$306,$A39,'Tray log'!$G$7:$G$306,$B39,'Tray log'!$H$7:$H$306,$C39,'Tray log'!$S$7:$S$306,IF($D39="Y","?*",""))+COUNTIFS('Tray log'!$K$7:$K$306,$A39,'Tray log'!$L$7:$L$306,$B39,'Tray log'!$M$7:$M$306,$C39,'Tray log'!$S$7:$S$306,IF($D39="Y","?*","")))</f>
        <v/>
      </c>
      <c r="G39" s="18" t="str">
        <f aca="false">IF(A39="","",SUMIFS('Tray log'!$J$7:$J$306,'Tray log'!$F$7:$F$306,$A39,'Tray log'!$G$7:$G$306,$B39,'Tray log'!$H$7:$H$306,$C39,'Tray log'!$S$7:$S$306,IF($D39="Y","?*",""))+SUMIFS('Tray log'!$N$7:$N$306,'Tray log'!$K$7:$K$306,$A39,'Tray log'!$L$7:$L$306,$B39,'Tray log'!$M$7:$M$306,$C39,'Tray log'!$S$7:$S$306,IF($D39="Y","?*","")))</f>
        <v/>
      </c>
      <c r="H39" s="24" t="str">
        <f aca="false">IF(A39="","",G39*IFERROR(INDEX(Parts!$F$6:$F$45,MATCH(A39,Parts!$A$6:$A$45,0)),0))</f>
        <v/>
      </c>
      <c r="I39" s="18" t="str">
        <f aca="false">IF(A39="","",SUMIFS('Tray log'!$J$7:$J$306,'Tray log'!$F$7:$F$306,$A39,'Tray log'!$G$7:$G$306,$B39,'Tray log'!$H$7:$H$306,$C39,'Tray log'!$S$7:$S$306,IF($D39="Y","?*",""),'Tray log'!$Y$7:$Y$306,Report!$B$7)+SUMIFS('Tray log'!$N$7:$N$306,'Tray log'!$K$7:$K$306,$A39,'Tray log'!$L$7:$L$306,$B39,'Tray log'!$M$7:$M$306,$C39,'Tray log'!$S$7:$S$306,IF($D39="Y","?*",""),'Tray log'!$Y$7:$Y$306,Report!$B$7))</f>
        <v/>
      </c>
      <c r="J39" s="22" t="str">
        <f aca="false">IF(OR(A39="",COUNTIFS('Tray log'!$F$7:$F$306,$A39,'Tray log'!$G$7:$G$306,$B39,'Tray log'!$H$7:$H$306,$C39,'Tray log'!$S$7:$S$306,IF($D39="Y","?*",""))=0),"",_xlfn.MINIFS('Tray log'!$E$7:$E$306,'Tray log'!$F$7:$F$306,$A39,'Tray log'!$G$7:$G$306,$B39,'Tray log'!$H$7:$H$306,$C39,'Tray log'!$S$7:$S$306,IF($D39="Y","?*","")))</f>
        <v/>
      </c>
      <c r="K39" s="22" t="str">
        <f aca="false">IF(OR(A39="",COUNTIFS('Tray log'!$F$7:$F$306,$A39,'Tray log'!$G$7:$G$306,$B39,'Tray log'!$H$7:$H$306,$C39,'Tray log'!$S$7:$S$306,IF($D39="Y","?*",""))=0),"",_xlfn.MAXIFS('Tray log'!$W$7:$W$306,'Tray log'!$F$7:$F$306,$A39,'Tray log'!$G$7:$G$306,$B39,'Tray log'!$H$7:$H$306,$C39,'Tray log'!$S$7:$S$306,IF($D39="Y","?*","")))</f>
        <v/>
      </c>
      <c r="L39" s="20"/>
      <c r="M39" s="18" t="str">
        <f aca="false">IF(OR(L39="",K39=""),"",ROUND((L39-K39)*1440,0))</f>
        <v/>
      </c>
      <c r="N39" s="27"/>
      <c r="O39" s="28" t="str">
        <f aca="false">IF(OR(N39="",N(H39)=0),"",N39/H39-1)</f>
        <v/>
      </c>
      <c r="P39" s="18" t="str">
        <f aca="false">IF(A39="","",IF(F39=0,"no tray in the log; ","")&amp;IF(E39="","part not on the Parts sheet; ","")&amp;IF(OR(B39="",C39=""),"batch / heat missing (type N/A if not available); ","")&amp;IF(M39="","",IF(ABS(M39)&gt;Settings!$B$11,"exit differs from the calculated time; ",""))&amp;IF(AND(L39&lt;&gt;"",L39&lt;J39),"actual exit before the entry; ",""))</f>
        <v/>
      </c>
      <c r="Q39" s="19"/>
    </row>
    <row r="40" customFormat="false" ht="15" hidden="false" customHeight="false" outlineLevel="0" collapsed="false">
      <c r="A40" s="19"/>
      <c r="B40" s="19"/>
      <c r="C40" s="19"/>
      <c r="D40" s="19"/>
      <c r="E40" s="18" t="str">
        <f aca="false">IF(A40="","",IFERROR(INDEX(Parts!$C$6:$C$45,MATCH(A40,Parts!$A$6:$A$45,0)),""))</f>
        <v/>
      </c>
      <c r="F40" s="18" t="str">
        <f aca="false">IF(A40="","",COUNTIFS('Tray log'!$F$7:$F$306,$A40,'Tray log'!$G$7:$G$306,$B40,'Tray log'!$H$7:$H$306,$C40,'Tray log'!$S$7:$S$306,IF($D40="Y","?*",""))+COUNTIFS('Tray log'!$K$7:$K$306,$A40,'Tray log'!$L$7:$L$306,$B40,'Tray log'!$M$7:$M$306,$C40,'Tray log'!$S$7:$S$306,IF($D40="Y","?*","")))</f>
        <v/>
      </c>
      <c r="G40" s="18" t="str">
        <f aca="false">IF(A40="","",SUMIFS('Tray log'!$J$7:$J$306,'Tray log'!$F$7:$F$306,$A40,'Tray log'!$G$7:$G$306,$B40,'Tray log'!$H$7:$H$306,$C40,'Tray log'!$S$7:$S$306,IF($D40="Y","?*",""))+SUMIFS('Tray log'!$N$7:$N$306,'Tray log'!$K$7:$K$306,$A40,'Tray log'!$L$7:$L$306,$B40,'Tray log'!$M$7:$M$306,$C40,'Tray log'!$S$7:$S$306,IF($D40="Y","?*","")))</f>
        <v/>
      </c>
      <c r="H40" s="24" t="str">
        <f aca="false">IF(A40="","",G40*IFERROR(INDEX(Parts!$F$6:$F$45,MATCH(A40,Parts!$A$6:$A$45,0)),0))</f>
        <v/>
      </c>
      <c r="I40" s="18" t="str">
        <f aca="false">IF(A40="","",SUMIFS('Tray log'!$J$7:$J$306,'Tray log'!$F$7:$F$306,$A40,'Tray log'!$G$7:$G$306,$B40,'Tray log'!$H$7:$H$306,$C40,'Tray log'!$S$7:$S$306,IF($D40="Y","?*",""),'Tray log'!$Y$7:$Y$306,Report!$B$7)+SUMIFS('Tray log'!$N$7:$N$306,'Tray log'!$K$7:$K$306,$A40,'Tray log'!$L$7:$L$306,$B40,'Tray log'!$M$7:$M$306,$C40,'Tray log'!$S$7:$S$306,IF($D40="Y","?*",""),'Tray log'!$Y$7:$Y$306,Report!$B$7))</f>
        <v/>
      </c>
      <c r="J40" s="22" t="str">
        <f aca="false">IF(OR(A40="",COUNTIFS('Tray log'!$F$7:$F$306,$A40,'Tray log'!$G$7:$G$306,$B40,'Tray log'!$H$7:$H$306,$C40,'Tray log'!$S$7:$S$306,IF($D40="Y","?*",""))=0),"",_xlfn.MINIFS('Tray log'!$E$7:$E$306,'Tray log'!$F$7:$F$306,$A40,'Tray log'!$G$7:$G$306,$B40,'Tray log'!$H$7:$H$306,$C40,'Tray log'!$S$7:$S$306,IF($D40="Y","?*","")))</f>
        <v/>
      </c>
      <c r="K40" s="22" t="str">
        <f aca="false">IF(OR(A40="",COUNTIFS('Tray log'!$F$7:$F$306,$A40,'Tray log'!$G$7:$G$306,$B40,'Tray log'!$H$7:$H$306,$C40,'Tray log'!$S$7:$S$306,IF($D40="Y","?*",""))=0),"",_xlfn.MAXIFS('Tray log'!$W$7:$W$306,'Tray log'!$F$7:$F$306,$A40,'Tray log'!$G$7:$G$306,$B40,'Tray log'!$H$7:$H$306,$C40,'Tray log'!$S$7:$S$306,IF($D40="Y","?*","")))</f>
        <v/>
      </c>
      <c r="L40" s="20"/>
      <c r="M40" s="18" t="str">
        <f aca="false">IF(OR(L40="",K40=""),"",ROUND((L40-K40)*1440,0))</f>
        <v/>
      </c>
      <c r="N40" s="27"/>
      <c r="O40" s="28" t="str">
        <f aca="false">IF(OR(N40="",N(H40)=0),"",N40/H40-1)</f>
        <v/>
      </c>
      <c r="P40" s="18" t="str">
        <f aca="false">IF(A40="","",IF(F40=0,"no tray in the log; ","")&amp;IF(E40="","part not on the Parts sheet; ","")&amp;IF(OR(B40="",C40=""),"batch / heat missing (type N/A if not available); ","")&amp;IF(M40="","",IF(ABS(M40)&gt;Settings!$B$11,"exit differs from the calculated time; ",""))&amp;IF(AND(L40&lt;&gt;"",L40&lt;J40),"actual exit before the entry; ",""))</f>
        <v/>
      </c>
      <c r="Q40" s="19"/>
    </row>
    <row r="41" customFormat="false" ht="15" hidden="false" customHeight="false" outlineLevel="0" collapsed="false">
      <c r="A41" s="19"/>
      <c r="B41" s="19"/>
      <c r="C41" s="19"/>
      <c r="D41" s="19"/>
      <c r="E41" s="18" t="str">
        <f aca="false">IF(A41="","",IFERROR(INDEX(Parts!$C$6:$C$45,MATCH(A41,Parts!$A$6:$A$45,0)),""))</f>
        <v/>
      </c>
      <c r="F41" s="18" t="str">
        <f aca="false">IF(A41="","",COUNTIFS('Tray log'!$F$7:$F$306,$A41,'Tray log'!$G$7:$G$306,$B41,'Tray log'!$H$7:$H$306,$C41,'Tray log'!$S$7:$S$306,IF($D41="Y","?*",""))+COUNTIFS('Tray log'!$K$7:$K$306,$A41,'Tray log'!$L$7:$L$306,$B41,'Tray log'!$M$7:$M$306,$C41,'Tray log'!$S$7:$S$306,IF($D41="Y","?*","")))</f>
        <v/>
      </c>
      <c r="G41" s="18" t="str">
        <f aca="false">IF(A41="","",SUMIFS('Tray log'!$J$7:$J$306,'Tray log'!$F$7:$F$306,$A41,'Tray log'!$G$7:$G$306,$B41,'Tray log'!$H$7:$H$306,$C41,'Tray log'!$S$7:$S$306,IF($D41="Y","?*",""))+SUMIFS('Tray log'!$N$7:$N$306,'Tray log'!$K$7:$K$306,$A41,'Tray log'!$L$7:$L$306,$B41,'Tray log'!$M$7:$M$306,$C41,'Tray log'!$S$7:$S$306,IF($D41="Y","?*","")))</f>
        <v/>
      </c>
      <c r="H41" s="24" t="str">
        <f aca="false">IF(A41="","",G41*IFERROR(INDEX(Parts!$F$6:$F$45,MATCH(A41,Parts!$A$6:$A$45,0)),0))</f>
        <v/>
      </c>
      <c r="I41" s="18" t="str">
        <f aca="false">IF(A41="","",SUMIFS('Tray log'!$J$7:$J$306,'Tray log'!$F$7:$F$306,$A41,'Tray log'!$G$7:$G$306,$B41,'Tray log'!$H$7:$H$306,$C41,'Tray log'!$S$7:$S$306,IF($D41="Y","?*",""),'Tray log'!$Y$7:$Y$306,Report!$B$7)+SUMIFS('Tray log'!$N$7:$N$306,'Tray log'!$K$7:$K$306,$A41,'Tray log'!$L$7:$L$306,$B41,'Tray log'!$M$7:$M$306,$C41,'Tray log'!$S$7:$S$306,IF($D41="Y","?*",""),'Tray log'!$Y$7:$Y$306,Report!$B$7))</f>
        <v/>
      </c>
      <c r="J41" s="22" t="str">
        <f aca="false">IF(OR(A41="",COUNTIFS('Tray log'!$F$7:$F$306,$A41,'Tray log'!$G$7:$G$306,$B41,'Tray log'!$H$7:$H$306,$C41,'Tray log'!$S$7:$S$306,IF($D41="Y","?*",""))=0),"",_xlfn.MINIFS('Tray log'!$E$7:$E$306,'Tray log'!$F$7:$F$306,$A41,'Tray log'!$G$7:$G$306,$B41,'Tray log'!$H$7:$H$306,$C41,'Tray log'!$S$7:$S$306,IF($D41="Y","?*","")))</f>
        <v/>
      </c>
      <c r="K41" s="22" t="str">
        <f aca="false">IF(OR(A41="",COUNTIFS('Tray log'!$F$7:$F$306,$A41,'Tray log'!$G$7:$G$306,$B41,'Tray log'!$H$7:$H$306,$C41,'Tray log'!$S$7:$S$306,IF($D41="Y","?*",""))=0),"",_xlfn.MAXIFS('Tray log'!$W$7:$W$306,'Tray log'!$F$7:$F$306,$A41,'Tray log'!$G$7:$G$306,$B41,'Tray log'!$H$7:$H$306,$C41,'Tray log'!$S$7:$S$306,IF($D41="Y","?*","")))</f>
        <v/>
      </c>
      <c r="L41" s="20"/>
      <c r="M41" s="18" t="str">
        <f aca="false">IF(OR(L41="",K41=""),"",ROUND((L41-K41)*1440,0))</f>
        <v/>
      </c>
      <c r="N41" s="27"/>
      <c r="O41" s="28" t="str">
        <f aca="false">IF(OR(N41="",N(H41)=0),"",N41/H41-1)</f>
        <v/>
      </c>
      <c r="P41" s="18" t="str">
        <f aca="false">IF(A41="","",IF(F41=0,"no tray in the log; ","")&amp;IF(E41="","part not on the Parts sheet; ","")&amp;IF(OR(B41="",C41=""),"batch / heat missing (type N/A if not available); ","")&amp;IF(M41="","",IF(ABS(M41)&gt;Settings!$B$11,"exit differs from the calculated time; ",""))&amp;IF(AND(L41&lt;&gt;"",L41&lt;J41),"actual exit before the entry; ",""))</f>
        <v/>
      </c>
      <c r="Q41" s="19"/>
    </row>
    <row r="42" customFormat="false" ht="15" hidden="false" customHeight="false" outlineLevel="0" collapsed="false">
      <c r="A42" s="19"/>
      <c r="B42" s="19"/>
      <c r="C42" s="19"/>
      <c r="D42" s="19"/>
      <c r="E42" s="18" t="str">
        <f aca="false">IF(A42="","",IFERROR(INDEX(Parts!$C$6:$C$45,MATCH(A42,Parts!$A$6:$A$45,0)),""))</f>
        <v/>
      </c>
      <c r="F42" s="18" t="str">
        <f aca="false">IF(A42="","",COUNTIFS('Tray log'!$F$7:$F$306,$A42,'Tray log'!$G$7:$G$306,$B42,'Tray log'!$H$7:$H$306,$C42,'Tray log'!$S$7:$S$306,IF($D42="Y","?*",""))+COUNTIFS('Tray log'!$K$7:$K$306,$A42,'Tray log'!$L$7:$L$306,$B42,'Tray log'!$M$7:$M$306,$C42,'Tray log'!$S$7:$S$306,IF($D42="Y","?*","")))</f>
        <v/>
      </c>
      <c r="G42" s="18" t="str">
        <f aca="false">IF(A42="","",SUMIFS('Tray log'!$J$7:$J$306,'Tray log'!$F$7:$F$306,$A42,'Tray log'!$G$7:$G$306,$B42,'Tray log'!$H$7:$H$306,$C42,'Tray log'!$S$7:$S$306,IF($D42="Y","?*",""))+SUMIFS('Tray log'!$N$7:$N$306,'Tray log'!$K$7:$K$306,$A42,'Tray log'!$L$7:$L$306,$B42,'Tray log'!$M$7:$M$306,$C42,'Tray log'!$S$7:$S$306,IF($D42="Y","?*","")))</f>
        <v/>
      </c>
      <c r="H42" s="24" t="str">
        <f aca="false">IF(A42="","",G42*IFERROR(INDEX(Parts!$F$6:$F$45,MATCH(A42,Parts!$A$6:$A$45,0)),0))</f>
        <v/>
      </c>
      <c r="I42" s="18" t="str">
        <f aca="false">IF(A42="","",SUMIFS('Tray log'!$J$7:$J$306,'Tray log'!$F$7:$F$306,$A42,'Tray log'!$G$7:$G$306,$B42,'Tray log'!$H$7:$H$306,$C42,'Tray log'!$S$7:$S$306,IF($D42="Y","?*",""),'Tray log'!$Y$7:$Y$306,Report!$B$7)+SUMIFS('Tray log'!$N$7:$N$306,'Tray log'!$K$7:$K$306,$A42,'Tray log'!$L$7:$L$306,$B42,'Tray log'!$M$7:$M$306,$C42,'Tray log'!$S$7:$S$306,IF($D42="Y","?*",""),'Tray log'!$Y$7:$Y$306,Report!$B$7))</f>
        <v/>
      </c>
      <c r="J42" s="22" t="str">
        <f aca="false">IF(OR(A42="",COUNTIFS('Tray log'!$F$7:$F$306,$A42,'Tray log'!$G$7:$G$306,$B42,'Tray log'!$H$7:$H$306,$C42,'Tray log'!$S$7:$S$306,IF($D42="Y","?*",""))=0),"",_xlfn.MINIFS('Tray log'!$E$7:$E$306,'Tray log'!$F$7:$F$306,$A42,'Tray log'!$G$7:$G$306,$B42,'Tray log'!$H$7:$H$306,$C42,'Tray log'!$S$7:$S$306,IF($D42="Y","?*","")))</f>
        <v/>
      </c>
      <c r="K42" s="22" t="str">
        <f aca="false">IF(OR(A42="",COUNTIFS('Tray log'!$F$7:$F$306,$A42,'Tray log'!$G$7:$G$306,$B42,'Tray log'!$H$7:$H$306,$C42,'Tray log'!$S$7:$S$306,IF($D42="Y","?*",""))=0),"",_xlfn.MAXIFS('Tray log'!$W$7:$W$306,'Tray log'!$F$7:$F$306,$A42,'Tray log'!$G$7:$G$306,$B42,'Tray log'!$H$7:$H$306,$C42,'Tray log'!$S$7:$S$306,IF($D42="Y","?*","")))</f>
        <v/>
      </c>
      <c r="L42" s="20"/>
      <c r="M42" s="18" t="str">
        <f aca="false">IF(OR(L42="",K42=""),"",ROUND((L42-K42)*1440,0))</f>
        <v/>
      </c>
      <c r="N42" s="27"/>
      <c r="O42" s="28" t="str">
        <f aca="false">IF(OR(N42="",N(H42)=0),"",N42/H42-1)</f>
        <v/>
      </c>
      <c r="P42" s="18" t="str">
        <f aca="false">IF(A42="","",IF(F42=0,"no tray in the log; ","")&amp;IF(E42="","part not on the Parts sheet; ","")&amp;IF(OR(B42="",C42=""),"batch / heat missing (type N/A if not available); ","")&amp;IF(M42="","",IF(ABS(M42)&gt;Settings!$B$11,"exit differs from the calculated time; ",""))&amp;IF(AND(L42&lt;&gt;"",L42&lt;J42),"actual exit before the entry; ",""))</f>
        <v/>
      </c>
      <c r="Q42" s="19"/>
    </row>
    <row r="43" customFormat="false" ht="15" hidden="false" customHeight="false" outlineLevel="0" collapsed="false">
      <c r="A43" s="19"/>
      <c r="B43" s="19"/>
      <c r="C43" s="19"/>
      <c r="D43" s="19"/>
      <c r="E43" s="18" t="str">
        <f aca="false">IF(A43="","",IFERROR(INDEX(Parts!$C$6:$C$45,MATCH(A43,Parts!$A$6:$A$45,0)),""))</f>
        <v/>
      </c>
      <c r="F43" s="18" t="str">
        <f aca="false">IF(A43="","",COUNTIFS('Tray log'!$F$7:$F$306,$A43,'Tray log'!$G$7:$G$306,$B43,'Tray log'!$H$7:$H$306,$C43,'Tray log'!$S$7:$S$306,IF($D43="Y","?*",""))+COUNTIFS('Tray log'!$K$7:$K$306,$A43,'Tray log'!$L$7:$L$306,$B43,'Tray log'!$M$7:$M$306,$C43,'Tray log'!$S$7:$S$306,IF($D43="Y","?*","")))</f>
        <v/>
      </c>
      <c r="G43" s="18" t="str">
        <f aca="false">IF(A43="","",SUMIFS('Tray log'!$J$7:$J$306,'Tray log'!$F$7:$F$306,$A43,'Tray log'!$G$7:$G$306,$B43,'Tray log'!$H$7:$H$306,$C43,'Tray log'!$S$7:$S$306,IF($D43="Y","?*",""))+SUMIFS('Tray log'!$N$7:$N$306,'Tray log'!$K$7:$K$306,$A43,'Tray log'!$L$7:$L$306,$B43,'Tray log'!$M$7:$M$306,$C43,'Tray log'!$S$7:$S$306,IF($D43="Y","?*","")))</f>
        <v/>
      </c>
      <c r="H43" s="24" t="str">
        <f aca="false">IF(A43="","",G43*IFERROR(INDEX(Parts!$F$6:$F$45,MATCH(A43,Parts!$A$6:$A$45,0)),0))</f>
        <v/>
      </c>
      <c r="I43" s="18" t="str">
        <f aca="false">IF(A43="","",SUMIFS('Tray log'!$J$7:$J$306,'Tray log'!$F$7:$F$306,$A43,'Tray log'!$G$7:$G$306,$B43,'Tray log'!$H$7:$H$306,$C43,'Tray log'!$S$7:$S$306,IF($D43="Y","?*",""),'Tray log'!$Y$7:$Y$306,Report!$B$7)+SUMIFS('Tray log'!$N$7:$N$306,'Tray log'!$K$7:$K$306,$A43,'Tray log'!$L$7:$L$306,$B43,'Tray log'!$M$7:$M$306,$C43,'Tray log'!$S$7:$S$306,IF($D43="Y","?*",""),'Tray log'!$Y$7:$Y$306,Report!$B$7))</f>
        <v/>
      </c>
      <c r="J43" s="22" t="str">
        <f aca="false">IF(OR(A43="",COUNTIFS('Tray log'!$F$7:$F$306,$A43,'Tray log'!$G$7:$G$306,$B43,'Tray log'!$H$7:$H$306,$C43,'Tray log'!$S$7:$S$306,IF($D43="Y","?*",""))=0),"",_xlfn.MINIFS('Tray log'!$E$7:$E$306,'Tray log'!$F$7:$F$306,$A43,'Tray log'!$G$7:$G$306,$B43,'Tray log'!$H$7:$H$306,$C43,'Tray log'!$S$7:$S$306,IF($D43="Y","?*","")))</f>
        <v/>
      </c>
      <c r="K43" s="22" t="str">
        <f aca="false">IF(OR(A43="",COUNTIFS('Tray log'!$F$7:$F$306,$A43,'Tray log'!$G$7:$G$306,$B43,'Tray log'!$H$7:$H$306,$C43,'Tray log'!$S$7:$S$306,IF($D43="Y","?*",""))=0),"",_xlfn.MAXIFS('Tray log'!$W$7:$W$306,'Tray log'!$F$7:$F$306,$A43,'Tray log'!$G$7:$G$306,$B43,'Tray log'!$H$7:$H$306,$C43,'Tray log'!$S$7:$S$306,IF($D43="Y","?*","")))</f>
        <v/>
      </c>
      <c r="L43" s="20"/>
      <c r="M43" s="18" t="str">
        <f aca="false">IF(OR(L43="",K43=""),"",ROUND((L43-K43)*1440,0))</f>
        <v/>
      </c>
      <c r="N43" s="27"/>
      <c r="O43" s="28" t="str">
        <f aca="false">IF(OR(N43="",N(H43)=0),"",N43/H43-1)</f>
        <v/>
      </c>
      <c r="P43" s="18" t="str">
        <f aca="false">IF(A43="","",IF(F43=0,"no tray in the log; ","")&amp;IF(E43="","part not on the Parts sheet; ","")&amp;IF(OR(B43="",C43=""),"batch / heat missing (type N/A if not available); ","")&amp;IF(M43="","",IF(ABS(M43)&gt;Settings!$B$11,"exit differs from the calculated time; ",""))&amp;IF(AND(L43&lt;&gt;"",L43&lt;J43),"actual exit before the entry; ",""))</f>
        <v/>
      </c>
      <c r="Q43" s="19"/>
    </row>
    <row r="44" customFormat="false" ht="15" hidden="false" customHeight="false" outlineLevel="0" collapsed="false">
      <c r="A44" s="19"/>
      <c r="B44" s="19"/>
      <c r="C44" s="19"/>
      <c r="D44" s="19"/>
      <c r="E44" s="18" t="str">
        <f aca="false">IF(A44="","",IFERROR(INDEX(Parts!$C$6:$C$45,MATCH(A44,Parts!$A$6:$A$45,0)),""))</f>
        <v/>
      </c>
      <c r="F44" s="18" t="str">
        <f aca="false">IF(A44="","",COUNTIFS('Tray log'!$F$7:$F$306,$A44,'Tray log'!$G$7:$G$306,$B44,'Tray log'!$H$7:$H$306,$C44,'Tray log'!$S$7:$S$306,IF($D44="Y","?*",""))+COUNTIFS('Tray log'!$K$7:$K$306,$A44,'Tray log'!$L$7:$L$306,$B44,'Tray log'!$M$7:$M$306,$C44,'Tray log'!$S$7:$S$306,IF($D44="Y","?*","")))</f>
        <v/>
      </c>
      <c r="G44" s="18" t="str">
        <f aca="false">IF(A44="","",SUMIFS('Tray log'!$J$7:$J$306,'Tray log'!$F$7:$F$306,$A44,'Tray log'!$G$7:$G$306,$B44,'Tray log'!$H$7:$H$306,$C44,'Tray log'!$S$7:$S$306,IF($D44="Y","?*",""))+SUMIFS('Tray log'!$N$7:$N$306,'Tray log'!$K$7:$K$306,$A44,'Tray log'!$L$7:$L$306,$B44,'Tray log'!$M$7:$M$306,$C44,'Tray log'!$S$7:$S$306,IF($D44="Y","?*","")))</f>
        <v/>
      </c>
      <c r="H44" s="24" t="str">
        <f aca="false">IF(A44="","",G44*IFERROR(INDEX(Parts!$F$6:$F$45,MATCH(A44,Parts!$A$6:$A$45,0)),0))</f>
        <v/>
      </c>
      <c r="I44" s="18" t="str">
        <f aca="false">IF(A44="","",SUMIFS('Tray log'!$J$7:$J$306,'Tray log'!$F$7:$F$306,$A44,'Tray log'!$G$7:$G$306,$B44,'Tray log'!$H$7:$H$306,$C44,'Tray log'!$S$7:$S$306,IF($D44="Y","?*",""),'Tray log'!$Y$7:$Y$306,Report!$B$7)+SUMIFS('Tray log'!$N$7:$N$306,'Tray log'!$K$7:$K$306,$A44,'Tray log'!$L$7:$L$306,$B44,'Tray log'!$M$7:$M$306,$C44,'Tray log'!$S$7:$S$306,IF($D44="Y","?*",""),'Tray log'!$Y$7:$Y$306,Report!$B$7))</f>
        <v/>
      </c>
      <c r="J44" s="22" t="str">
        <f aca="false">IF(OR(A44="",COUNTIFS('Tray log'!$F$7:$F$306,$A44,'Tray log'!$G$7:$G$306,$B44,'Tray log'!$H$7:$H$306,$C44,'Tray log'!$S$7:$S$306,IF($D44="Y","?*",""))=0),"",_xlfn.MINIFS('Tray log'!$E$7:$E$306,'Tray log'!$F$7:$F$306,$A44,'Tray log'!$G$7:$G$306,$B44,'Tray log'!$H$7:$H$306,$C44,'Tray log'!$S$7:$S$306,IF($D44="Y","?*","")))</f>
        <v/>
      </c>
      <c r="K44" s="22" t="str">
        <f aca="false">IF(OR(A44="",COUNTIFS('Tray log'!$F$7:$F$306,$A44,'Tray log'!$G$7:$G$306,$B44,'Tray log'!$H$7:$H$306,$C44,'Tray log'!$S$7:$S$306,IF($D44="Y","?*",""))=0),"",_xlfn.MAXIFS('Tray log'!$W$7:$W$306,'Tray log'!$F$7:$F$306,$A44,'Tray log'!$G$7:$G$306,$B44,'Tray log'!$H$7:$H$306,$C44,'Tray log'!$S$7:$S$306,IF($D44="Y","?*","")))</f>
        <v/>
      </c>
      <c r="L44" s="20"/>
      <c r="M44" s="18" t="str">
        <f aca="false">IF(OR(L44="",K44=""),"",ROUND((L44-K44)*1440,0))</f>
        <v/>
      </c>
      <c r="N44" s="27"/>
      <c r="O44" s="28" t="str">
        <f aca="false">IF(OR(N44="",N(H44)=0),"",N44/H44-1)</f>
        <v/>
      </c>
      <c r="P44" s="18" t="str">
        <f aca="false">IF(A44="","",IF(F44=0,"no tray in the log; ","")&amp;IF(E44="","part not on the Parts sheet; ","")&amp;IF(OR(B44="",C44=""),"batch / heat missing (type N/A if not available); ","")&amp;IF(M44="","",IF(ABS(M44)&gt;Settings!$B$11,"exit differs from the calculated time; ",""))&amp;IF(AND(L44&lt;&gt;"",L44&lt;J44),"actual exit before the entry; ",""))</f>
        <v/>
      </c>
      <c r="Q44" s="19"/>
    </row>
    <row r="45" customFormat="false" ht="15" hidden="false" customHeight="false" outlineLevel="0" collapsed="false">
      <c r="A45" s="19"/>
      <c r="B45" s="19"/>
      <c r="C45" s="19"/>
      <c r="D45" s="19"/>
      <c r="E45" s="18" t="str">
        <f aca="false">IF(A45="","",IFERROR(INDEX(Parts!$C$6:$C$45,MATCH(A45,Parts!$A$6:$A$45,0)),""))</f>
        <v/>
      </c>
      <c r="F45" s="18" t="str">
        <f aca="false">IF(A45="","",COUNTIFS('Tray log'!$F$7:$F$306,$A45,'Tray log'!$G$7:$G$306,$B45,'Tray log'!$H$7:$H$306,$C45,'Tray log'!$S$7:$S$306,IF($D45="Y","?*",""))+COUNTIFS('Tray log'!$K$7:$K$306,$A45,'Tray log'!$L$7:$L$306,$B45,'Tray log'!$M$7:$M$306,$C45,'Tray log'!$S$7:$S$306,IF($D45="Y","?*","")))</f>
        <v/>
      </c>
      <c r="G45" s="18" t="str">
        <f aca="false">IF(A45="","",SUMIFS('Tray log'!$J$7:$J$306,'Tray log'!$F$7:$F$306,$A45,'Tray log'!$G$7:$G$306,$B45,'Tray log'!$H$7:$H$306,$C45,'Tray log'!$S$7:$S$306,IF($D45="Y","?*",""))+SUMIFS('Tray log'!$N$7:$N$306,'Tray log'!$K$7:$K$306,$A45,'Tray log'!$L$7:$L$306,$B45,'Tray log'!$M$7:$M$306,$C45,'Tray log'!$S$7:$S$306,IF($D45="Y","?*","")))</f>
        <v/>
      </c>
      <c r="H45" s="24" t="str">
        <f aca="false">IF(A45="","",G45*IFERROR(INDEX(Parts!$F$6:$F$45,MATCH(A45,Parts!$A$6:$A$45,0)),0))</f>
        <v/>
      </c>
      <c r="I45" s="18" t="str">
        <f aca="false">IF(A45="","",SUMIFS('Tray log'!$J$7:$J$306,'Tray log'!$F$7:$F$306,$A45,'Tray log'!$G$7:$G$306,$B45,'Tray log'!$H$7:$H$306,$C45,'Tray log'!$S$7:$S$306,IF($D45="Y","?*",""),'Tray log'!$Y$7:$Y$306,Report!$B$7)+SUMIFS('Tray log'!$N$7:$N$306,'Tray log'!$K$7:$K$306,$A45,'Tray log'!$L$7:$L$306,$B45,'Tray log'!$M$7:$M$306,$C45,'Tray log'!$S$7:$S$306,IF($D45="Y","?*",""),'Tray log'!$Y$7:$Y$306,Report!$B$7))</f>
        <v/>
      </c>
      <c r="J45" s="22" t="str">
        <f aca="false">IF(OR(A45="",COUNTIFS('Tray log'!$F$7:$F$306,$A45,'Tray log'!$G$7:$G$306,$B45,'Tray log'!$H$7:$H$306,$C45,'Tray log'!$S$7:$S$306,IF($D45="Y","?*",""))=0),"",_xlfn.MINIFS('Tray log'!$E$7:$E$306,'Tray log'!$F$7:$F$306,$A45,'Tray log'!$G$7:$G$306,$B45,'Tray log'!$H$7:$H$306,$C45,'Tray log'!$S$7:$S$306,IF($D45="Y","?*","")))</f>
        <v/>
      </c>
      <c r="K45" s="22" t="str">
        <f aca="false">IF(OR(A45="",COUNTIFS('Tray log'!$F$7:$F$306,$A45,'Tray log'!$G$7:$G$306,$B45,'Tray log'!$H$7:$H$306,$C45,'Tray log'!$S$7:$S$306,IF($D45="Y","?*",""))=0),"",_xlfn.MAXIFS('Tray log'!$W$7:$W$306,'Tray log'!$F$7:$F$306,$A45,'Tray log'!$G$7:$G$306,$B45,'Tray log'!$H$7:$H$306,$C45,'Tray log'!$S$7:$S$306,IF($D45="Y","?*","")))</f>
        <v/>
      </c>
      <c r="L45" s="20"/>
      <c r="M45" s="18" t="str">
        <f aca="false">IF(OR(L45="",K45=""),"",ROUND((L45-K45)*1440,0))</f>
        <v/>
      </c>
      <c r="N45" s="27"/>
      <c r="O45" s="28" t="str">
        <f aca="false">IF(OR(N45="",N(H45)=0),"",N45/H45-1)</f>
        <v/>
      </c>
      <c r="P45" s="18" t="str">
        <f aca="false">IF(A45="","",IF(F45=0,"no tray in the log; ","")&amp;IF(E45="","part not on the Parts sheet; ","")&amp;IF(OR(B45="",C45=""),"batch / heat missing (type N/A if not available); ","")&amp;IF(M45="","",IF(ABS(M45)&gt;Settings!$B$11,"exit differs from the calculated time; ",""))&amp;IF(AND(L45&lt;&gt;"",L45&lt;J45),"actual exit before the entry; ",""))</f>
        <v/>
      </c>
      <c r="Q45" s="19"/>
    </row>
    <row r="46" customFormat="false" ht="15" hidden="false" customHeight="false" outlineLevel="0" collapsed="false">
      <c r="A46" s="19"/>
      <c r="B46" s="19"/>
      <c r="C46" s="19"/>
      <c r="D46" s="19"/>
      <c r="E46" s="18" t="str">
        <f aca="false">IF(A46="","",IFERROR(INDEX(Parts!$C$6:$C$45,MATCH(A46,Parts!$A$6:$A$45,0)),""))</f>
        <v/>
      </c>
      <c r="F46" s="18" t="str">
        <f aca="false">IF(A46="","",COUNTIFS('Tray log'!$F$7:$F$306,$A46,'Tray log'!$G$7:$G$306,$B46,'Tray log'!$H$7:$H$306,$C46,'Tray log'!$S$7:$S$306,IF($D46="Y","?*",""))+COUNTIFS('Tray log'!$K$7:$K$306,$A46,'Tray log'!$L$7:$L$306,$B46,'Tray log'!$M$7:$M$306,$C46,'Tray log'!$S$7:$S$306,IF($D46="Y","?*","")))</f>
        <v/>
      </c>
      <c r="G46" s="18" t="str">
        <f aca="false">IF(A46="","",SUMIFS('Tray log'!$J$7:$J$306,'Tray log'!$F$7:$F$306,$A46,'Tray log'!$G$7:$G$306,$B46,'Tray log'!$H$7:$H$306,$C46,'Tray log'!$S$7:$S$306,IF($D46="Y","?*",""))+SUMIFS('Tray log'!$N$7:$N$306,'Tray log'!$K$7:$K$306,$A46,'Tray log'!$L$7:$L$306,$B46,'Tray log'!$M$7:$M$306,$C46,'Tray log'!$S$7:$S$306,IF($D46="Y","?*","")))</f>
        <v/>
      </c>
      <c r="H46" s="24" t="str">
        <f aca="false">IF(A46="","",G46*IFERROR(INDEX(Parts!$F$6:$F$45,MATCH(A46,Parts!$A$6:$A$45,0)),0))</f>
        <v/>
      </c>
      <c r="I46" s="18" t="str">
        <f aca="false">IF(A46="","",SUMIFS('Tray log'!$J$7:$J$306,'Tray log'!$F$7:$F$306,$A46,'Tray log'!$G$7:$G$306,$B46,'Tray log'!$H$7:$H$306,$C46,'Tray log'!$S$7:$S$306,IF($D46="Y","?*",""),'Tray log'!$Y$7:$Y$306,Report!$B$7)+SUMIFS('Tray log'!$N$7:$N$306,'Tray log'!$K$7:$K$306,$A46,'Tray log'!$L$7:$L$306,$B46,'Tray log'!$M$7:$M$306,$C46,'Tray log'!$S$7:$S$306,IF($D46="Y","?*",""),'Tray log'!$Y$7:$Y$306,Report!$B$7))</f>
        <v/>
      </c>
      <c r="J46" s="22" t="str">
        <f aca="false">IF(OR(A46="",COUNTIFS('Tray log'!$F$7:$F$306,$A46,'Tray log'!$G$7:$G$306,$B46,'Tray log'!$H$7:$H$306,$C46,'Tray log'!$S$7:$S$306,IF($D46="Y","?*",""))=0),"",_xlfn.MINIFS('Tray log'!$E$7:$E$306,'Tray log'!$F$7:$F$306,$A46,'Tray log'!$G$7:$G$306,$B46,'Tray log'!$H$7:$H$306,$C46,'Tray log'!$S$7:$S$306,IF($D46="Y","?*","")))</f>
        <v/>
      </c>
      <c r="K46" s="22" t="str">
        <f aca="false">IF(OR(A46="",COUNTIFS('Tray log'!$F$7:$F$306,$A46,'Tray log'!$G$7:$G$306,$B46,'Tray log'!$H$7:$H$306,$C46,'Tray log'!$S$7:$S$306,IF($D46="Y","?*",""))=0),"",_xlfn.MAXIFS('Tray log'!$W$7:$W$306,'Tray log'!$F$7:$F$306,$A46,'Tray log'!$G$7:$G$306,$B46,'Tray log'!$H$7:$H$306,$C46,'Tray log'!$S$7:$S$306,IF($D46="Y","?*","")))</f>
        <v/>
      </c>
      <c r="L46" s="20"/>
      <c r="M46" s="18" t="str">
        <f aca="false">IF(OR(L46="",K46=""),"",ROUND((L46-K46)*1440,0))</f>
        <v/>
      </c>
      <c r="N46" s="27"/>
      <c r="O46" s="28" t="str">
        <f aca="false">IF(OR(N46="",N(H46)=0),"",N46/H46-1)</f>
        <v/>
      </c>
      <c r="P46" s="18" t="str">
        <f aca="false">IF(A46="","",IF(F46=0,"no tray in the log; ","")&amp;IF(E46="","part not on the Parts sheet; ","")&amp;IF(OR(B46="",C46=""),"batch / heat missing (type N/A if not available); ","")&amp;IF(M46="","",IF(ABS(M46)&gt;Settings!$B$11,"exit differs from the calculated time; ",""))&amp;IF(AND(L46&lt;&gt;"",L46&lt;J46),"actual exit before the entry; ",""))</f>
        <v/>
      </c>
      <c r="Q46" s="19"/>
    </row>
    <row r="47" customFormat="false" ht="15" hidden="false" customHeight="false" outlineLevel="0" collapsed="false">
      <c r="A47" s="19"/>
      <c r="B47" s="19"/>
      <c r="C47" s="19"/>
      <c r="D47" s="19"/>
      <c r="E47" s="18" t="str">
        <f aca="false">IF(A47="","",IFERROR(INDEX(Parts!$C$6:$C$45,MATCH(A47,Parts!$A$6:$A$45,0)),""))</f>
        <v/>
      </c>
      <c r="F47" s="18" t="str">
        <f aca="false">IF(A47="","",COUNTIFS('Tray log'!$F$7:$F$306,$A47,'Tray log'!$G$7:$G$306,$B47,'Tray log'!$H$7:$H$306,$C47,'Tray log'!$S$7:$S$306,IF($D47="Y","?*",""))+COUNTIFS('Tray log'!$K$7:$K$306,$A47,'Tray log'!$L$7:$L$306,$B47,'Tray log'!$M$7:$M$306,$C47,'Tray log'!$S$7:$S$306,IF($D47="Y","?*","")))</f>
        <v/>
      </c>
      <c r="G47" s="18" t="str">
        <f aca="false">IF(A47="","",SUMIFS('Tray log'!$J$7:$J$306,'Tray log'!$F$7:$F$306,$A47,'Tray log'!$G$7:$G$306,$B47,'Tray log'!$H$7:$H$306,$C47,'Tray log'!$S$7:$S$306,IF($D47="Y","?*",""))+SUMIFS('Tray log'!$N$7:$N$306,'Tray log'!$K$7:$K$306,$A47,'Tray log'!$L$7:$L$306,$B47,'Tray log'!$M$7:$M$306,$C47,'Tray log'!$S$7:$S$306,IF($D47="Y","?*","")))</f>
        <v/>
      </c>
      <c r="H47" s="24" t="str">
        <f aca="false">IF(A47="","",G47*IFERROR(INDEX(Parts!$F$6:$F$45,MATCH(A47,Parts!$A$6:$A$45,0)),0))</f>
        <v/>
      </c>
      <c r="I47" s="18" t="str">
        <f aca="false">IF(A47="","",SUMIFS('Tray log'!$J$7:$J$306,'Tray log'!$F$7:$F$306,$A47,'Tray log'!$G$7:$G$306,$B47,'Tray log'!$H$7:$H$306,$C47,'Tray log'!$S$7:$S$306,IF($D47="Y","?*",""),'Tray log'!$Y$7:$Y$306,Report!$B$7)+SUMIFS('Tray log'!$N$7:$N$306,'Tray log'!$K$7:$K$306,$A47,'Tray log'!$L$7:$L$306,$B47,'Tray log'!$M$7:$M$306,$C47,'Tray log'!$S$7:$S$306,IF($D47="Y","?*",""),'Tray log'!$Y$7:$Y$306,Report!$B$7))</f>
        <v/>
      </c>
      <c r="J47" s="22" t="str">
        <f aca="false">IF(OR(A47="",COUNTIFS('Tray log'!$F$7:$F$306,$A47,'Tray log'!$G$7:$G$306,$B47,'Tray log'!$H$7:$H$306,$C47,'Tray log'!$S$7:$S$306,IF($D47="Y","?*",""))=0),"",_xlfn.MINIFS('Tray log'!$E$7:$E$306,'Tray log'!$F$7:$F$306,$A47,'Tray log'!$G$7:$G$306,$B47,'Tray log'!$H$7:$H$306,$C47,'Tray log'!$S$7:$S$306,IF($D47="Y","?*","")))</f>
        <v/>
      </c>
      <c r="K47" s="22" t="str">
        <f aca="false">IF(OR(A47="",COUNTIFS('Tray log'!$F$7:$F$306,$A47,'Tray log'!$G$7:$G$306,$B47,'Tray log'!$H$7:$H$306,$C47,'Tray log'!$S$7:$S$306,IF($D47="Y","?*",""))=0),"",_xlfn.MAXIFS('Tray log'!$W$7:$W$306,'Tray log'!$F$7:$F$306,$A47,'Tray log'!$G$7:$G$306,$B47,'Tray log'!$H$7:$H$306,$C47,'Tray log'!$S$7:$S$306,IF($D47="Y","?*","")))</f>
        <v/>
      </c>
      <c r="L47" s="20"/>
      <c r="M47" s="18" t="str">
        <f aca="false">IF(OR(L47="",K47=""),"",ROUND((L47-K47)*1440,0))</f>
        <v/>
      </c>
      <c r="N47" s="27"/>
      <c r="O47" s="28" t="str">
        <f aca="false">IF(OR(N47="",N(H47)=0),"",N47/H47-1)</f>
        <v/>
      </c>
      <c r="P47" s="18" t="str">
        <f aca="false">IF(A47="","",IF(F47=0,"no tray in the log; ","")&amp;IF(E47="","part not on the Parts sheet; ","")&amp;IF(OR(B47="",C47=""),"batch / heat missing (type N/A if not available); ","")&amp;IF(M47="","",IF(ABS(M47)&gt;Settings!$B$11,"exit differs from the calculated time; ",""))&amp;IF(AND(L47&lt;&gt;"",L47&lt;J47),"actual exit before the entry; ",""))</f>
        <v/>
      </c>
      <c r="Q47" s="19"/>
    </row>
    <row r="48" customFormat="false" ht="15" hidden="false" customHeight="false" outlineLevel="0" collapsed="false">
      <c r="A48" s="19"/>
      <c r="B48" s="19"/>
      <c r="C48" s="19"/>
      <c r="D48" s="19"/>
      <c r="E48" s="18" t="str">
        <f aca="false">IF(A48="","",IFERROR(INDEX(Parts!$C$6:$C$45,MATCH(A48,Parts!$A$6:$A$45,0)),""))</f>
        <v/>
      </c>
      <c r="F48" s="18" t="str">
        <f aca="false">IF(A48="","",COUNTIFS('Tray log'!$F$7:$F$306,$A48,'Tray log'!$G$7:$G$306,$B48,'Tray log'!$H$7:$H$306,$C48,'Tray log'!$S$7:$S$306,IF($D48="Y","?*",""))+COUNTIFS('Tray log'!$K$7:$K$306,$A48,'Tray log'!$L$7:$L$306,$B48,'Tray log'!$M$7:$M$306,$C48,'Tray log'!$S$7:$S$306,IF($D48="Y","?*","")))</f>
        <v/>
      </c>
      <c r="G48" s="18" t="str">
        <f aca="false">IF(A48="","",SUMIFS('Tray log'!$J$7:$J$306,'Tray log'!$F$7:$F$306,$A48,'Tray log'!$G$7:$G$306,$B48,'Tray log'!$H$7:$H$306,$C48,'Tray log'!$S$7:$S$306,IF($D48="Y","?*",""))+SUMIFS('Tray log'!$N$7:$N$306,'Tray log'!$K$7:$K$306,$A48,'Tray log'!$L$7:$L$306,$B48,'Tray log'!$M$7:$M$306,$C48,'Tray log'!$S$7:$S$306,IF($D48="Y","?*","")))</f>
        <v/>
      </c>
      <c r="H48" s="24" t="str">
        <f aca="false">IF(A48="","",G48*IFERROR(INDEX(Parts!$F$6:$F$45,MATCH(A48,Parts!$A$6:$A$45,0)),0))</f>
        <v/>
      </c>
      <c r="I48" s="18" t="str">
        <f aca="false">IF(A48="","",SUMIFS('Tray log'!$J$7:$J$306,'Tray log'!$F$7:$F$306,$A48,'Tray log'!$G$7:$G$306,$B48,'Tray log'!$H$7:$H$306,$C48,'Tray log'!$S$7:$S$306,IF($D48="Y","?*",""),'Tray log'!$Y$7:$Y$306,Report!$B$7)+SUMIFS('Tray log'!$N$7:$N$306,'Tray log'!$K$7:$K$306,$A48,'Tray log'!$L$7:$L$306,$B48,'Tray log'!$M$7:$M$306,$C48,'Tray log'!$S$7:$S$306,IF($D48="Y","?*",""),'Tray log'!$Y$7:$Y$306,Report!$B$7))</f>
        <v/>
      </c>
      <c r="J48" s="22" t="str">
        <f aca="false">IF(OR(A48="",COUNTIFS('Tray log'!$F$7:$F$306,$A48,'Tray log'!$G$7:$G$306,$B48,'Tray log'!$H$7:$H$306,$C48,'Tray log'!$S$7:$S$306,IF($D48="Y","?*",""))=0),"",_xlfn.MINIFS('Tray log'!$E$7:$E$306,'Tray log'!$F$7:$F$306,$A48,'Tray log'!$G$7:$G$306,$B48,'Tray log'!$H$7:$H$306,$C48,'Tray log'!$S$7:$S$306,IF($D48="Y","?*","")))</f>
        <v/>
      </c>
      <c r="K48" s="22" t="str">
        <f aca="false">IF(OR(A48="",COUNTIFS('Tray log'!$F$7:$F$306,$A48,'Tray log'!$G$7:$G$306,$B48,'Tray log'!$H$7:$H$306,$C48,'Tray log'!$S$7:$S$306,IF($D48="Y","?*",""))=0),"",_xlfn.MAXIFS('Tray log'!$W$7:$W$306,'Tray log'!$F$7:$F$306,$A48,'Tray log'!$G$7:$G$306,$B48,'Tray log'!$H$7:$H$306,$C48,'Tray log'!$S$7:$S$306,IF($D48="Y","?*","")))</f>
        <v/>
      </c>
      <c r="L48" s="20"/>
      <c r="M48" s="18" t="str">
        <f aca="false">IF(OR(L48="",K48=""),"",ROUND((L48-K48)*1440,0))</f>
        <v/>
      </c>
      <c r="N48" s="27"/>
      <c r="O48" s="28" t="str">
        <f aca="false">IF(OR(N48="",N(H48)=0),"",N48/H48-1)</f>
        <v/>
      </c>
      <c r="P48" s="18" t="str">
        <f aca="false">IF(A48="","",IF(F48=0,"no tray in the log; ","")&amp;IF(E48="","part not on the Parts sheet; ","")&amp;IF(OR(B48="",C48=""),"batch / heat missing (type N/A if not available); ","")&amp;IF(M48="","",IF(ABS(M48)&gt;Settings!$B$11,"exit differs from the calculated time; ",""))&amp;IF(AND(L48&lt;&gt;"",L48&lt;J48),"actual exit before the entry; ",""))</f>
        <v/>
      </c>
      <c r="Q48" s="19"/>
    </row>
    <row r="49" customFormat="false" ht="15" hidden="false" customHeight="false" outlineLevel="0" collapsed="false">
      <c r="A49" s="19"/>
      <c r="B49" s="19"/>
      <c r="C49" s="19"/>
      <c r="D49" s="19"/>
      <c r="E49" s="18" t="str">
        <f aca="false">IF(A49="","",IFERROR(INDEX(Parts!$C$6:$C$45,MATCH(A49,Parts!$A$6:$A$45,0)),""))</f>
        <v/>
      </c>
      <c r="F49" s="18" t="str">
        <f aca="false">IF(A49="","",COUNTIFS('Tray log'!$F$7:$F$306,$A49,'Tray log'!$G$7:$G$306,$B49,'Tray log'!$H$7:$H$306,$C49,'Tray log'!$S$7:$S$306,IF($D49="Y","?*",""))+COUNTIFS('Tray log'!$K$7:$K$306,$A49,'Tray log'!$L$7:$L$306,$B49,'Tray log'!$M$7:$M$306,$C49,'Tray log'!$S$7:$S$306,IF($D49="Y","?*","")))</f>
        <v/>
      </c>
      <c r="G49" s="18" t="str">
        <f aca="false">IF(A49="","",SUMIFS('Tray log'!$J$7:$J$306,'Tray log'!$F$7:$F$306,$A49,'Tray log'!$G$7:$G$306,$B49,'Tray log'!$H$7:$H$306,$C49,'Tray log'!$S$7:$S$306,IF($D49="Y","?*",""))+SUMIFS('Tray log'!$N$7:$N$306,'Tray log'!$K$7:$K$306,$A49,'Tray log'!$L$7:$L$306,$B49,'Tray log'!$M$7:$M$306,$C49,'Tray log'!$S$7:$S$306,IF($D49="Y","?*","")))</f>
        <v/>
      </c>
      <c r="H49" s="24" t="str">
        <f aca="false">IF(A49="","",G49*IFERROR(INDEX(Parts!$F$6:$F$45,MATCH(A49,Parts!$A$6:$A$45,0)),0))</f>
        <v/>
      </c>
      <c r="I49" s="18" t="str">
        <f aca="false">IF(A49="","",SUMIFS('Tray log'!$J$7:$J$306,'Tray log'!$F$7:$F$306,$A49,'Tray log'!$G$7:$G$306,$B49,'Tray log'!$H$7:$H$306,$C49,'Tray log'!$S$7:$S$306,IF($D49="Y","?*",""),'Tray log'!$Y$7:$Y$306,Report!$B$7)+SUMIFS('Tray log'!$N$7:$N$306,'Tray log'!$K$7:$K$306,$A49,'Tray log'!$L$7:$L$306,$B49,'Tray log'!$M$7:$M$306,$C49,'Tray log'!$S$7:$S$306,IF($D49="Y","?*",""),'Tray log'!$Y$7:$Y$306,Report!$B$7))</f>
        <v/>
      </c>
      <c r="J49" s="22" t="str">
        <f aca="false">IF(OR(A49="",COUNTIFS('Tray log'!$F$7:$F$306,$A49,'Tray log'!$G$7:$G$306,$B49,'Tray log'!$H$7:$H$306,$C49,'Tray log'!$S$7:$S$306,IF($D49="Y","?*",""))=0),"",_xlfn.MINIFS('Tray log'!$E$7:$E$306,'Tray log'!$F$7:$F$306,$A49,'Tray log'!$G$7:$G$306,$B49,'Tray log'!$H$7:$H$306,$C49,'Tray log'!$S$7:$S$306,IF($D49="Y","?*","")))</f>
        <v/>
      </c>
      <c r="K49" s="22" t="str">
        <f aca="false">IF(OR(A49="",COUNTIFS('Tray log'!$F$7:$F$306,$A49,'Tray log'!$G$7:$G$306,$B49,'Tray log'!$H$7:$H$306,$C49,'Tray log'!$S$7:$S$306,IF($D49="Y","?*",""))=0),"",_xlfn.MAXIFS('Tray log'!$W$7:$W$306,'Tray log'!$F$7:$F$306,$A49,'Tray log'!$G$7:$G$306,$B49,'Tray log'!$H$7:$H$306,$C49,'Tray log'!$S$7:$S$306,IF($D49="Y","?*","")))</f>
        <v/>
      </c>
      <c r="L49" s="20"/>
      <c r="M49" s="18" t="str">
        <f aca="false">IF(OR(L49="",K49=""),"",ROUND((L49-K49)*1440,0))</f>
        <v/>
      </c>
      <c r="N49" s="27"/>
      <c r="O49" s="28" t="str">
        <f aca="false">IF(OR(N49="",N(H49)=0),"",N49/H49-1)</f>
        <v/>
      </c>
      <c r="P49" s="18" t="str">
        <f aca="false">IF(A49="","",IF(F49=0,"no tray in the log; ","")&amp;IF(E49="","part not on the Parts sheet; ","")&amp;IF(OR(B49="",C49=""),"batch / heat missing (type N/A if not available); ","")&amp;IF(M49="","",IF(ABS(M49)&gt;Settings!$B$11,"exit differs from the calculated time; ",""))&amp;IF(AND(L49&lt;&gt;"",L49&lt;J49),"actual exit before the entry; ",""))</f>
        <v/>
      </c>
      <c r="Q49" s="19"/>
    </row>
    <row r="50" customFormat="false" ht="15" hidden="false" customHeight="false" outlineLevel="0" collapsed="false">
      <c r="A50" s="19"/>
      <c r="B50" s="19"/>
      <c r="C50" s="19"/>
      <c r="D50" s="19"/>
      <c r="E50" s="18" t="str">
        <f aca="false">IF(A50="","",IFERROR(INDEX(Parts!$C$6:$C$45,MATCH(A50,Parts!$A$6:$A$45,0)),""))</f>
        <v/>
      </c>
      <c r="F50" s="18" t="str">
        <f aca="false">IF(A50="","",COUNTIFS('Tray log'!$F$7:$F$306,$A50,'Tray log'!$G$7:$G$306,$B50,'Tray log'!$H$7:$H$306,$C50,'Tray log'!$S$7:$S$306,IF($D50="Y","?*",""))+COUNTIFS('Tray log'!$K$7:$K$306,$A50,'Tray log'!$L$7:$L$306,$B50,'Tray log'!$M$7:$M$306,$C50,'Tray log'!$S$7:$S$306,IF($D50="Y","?*","")))</f>
        <v/>
      </c>
      <c r="G50" s="18" t="str">
        <f aca="false">IF(A50="","",SUMIFS('Tray log'!$J$7:$J$306,'Tray log'!$F$7:$F$306,$A50,'Tray log'!$G$7:$G$306,$B50,'Tray log'!$H$7:$H$306,$C50,'Tray log'!$S$7:$S$306,IF($D50="Y","?*",""))+SUMIFS('Tray log'!$N$7:$N$306,'Tray log'!$K$7:$K$306,$A50,'Tray log'!$L$7:$L$306,$B50,'Tray log'!$M$7:$M$306,$C50,'Tray log'!$S$7:$S$306,IF($D50="Y","?*","")))</f>
        <v/>
      </c>
      <c r="H50" s="24" t="str">
        <f aca="false">IF(A50="","",G50*IFERROR(INDEX(Parts!$F$6:$F$45,MATCH(A50,Parts!$A$6:$A$45,0)),0))</f>
        <v/>
      </c>
      <c r="I50" s="18" t="str">
        <f aca="false">IF(A50="","",SUMIFS('Tray log'!$J$7:$J$306,'Tray log'!$F$7:$F$306,$A50,'Tray log'!$G$7:$G$306,$B50,'Tray log'!$H$7:$H$306,$C50,'Tray log'!$S$7:$S$306,IF($D50="Y","?*",""),'Tray log'!$Y$7:$Y$306,Report!$B$7)+SUMIFS('Tray log'!$N$7:$N$306,'Tray log'!$K$7:$K$306,$A50,'Tray log'!$L$7:$L$306,$B50,'Tray log'!$M$7:$M$306,$C50,'Tray log'!$S$7:$S$306,IF($D50="Y","?*",""),'Tray log'!$Y$7:$Y$306,Report!$B$7))</f>
        <v/>
      </c>
      <c r="J50" s="22" t="str">
        <f aca="false">IF(OR(A50="",COUNTIFS('Tray log'!$F$7:$F$306,$A50,'Tray log'!$G$7:$G$306,$B50,'Tray log'!$H$7:$H$306,$C50,'Tray log'!$S$7:$S$306,IF($D50="Y","?*",""))=0),"",_xlfn.MINIFS('Tray log'!$E$7:$E$306,'Tray log'!$F$7:$F$306,$A50,'Tray log'!$G$7:$G$306,$B50,'Tray log'!$H$7:$H$306,$C50,'Tray log'!$S$7:$S$306,IF($D50="Y","?*","")))</f>
        <v/>
      </c>
      <c r="K50" s="22" t="str">
        <f aca="false">IF(OR(A50="",COUNTIFS('Tray log'!$F$7:$F$306,$A50,'Tray log'!$G$7:$G$306,$B50,'Tray log'!$H$7:$H$306,$C50,'Tray log'!$S$7:$S$306,IF($D50="Y","?*",""))=0),"",_xlfn.MAXIFS('Tray log'!$W$7:$W$306,'Tray log'!$F$7:$F$306,$A50,'Tray log'!$G$7:$G$306,$B50,'Tray log'!$H$7:$H$306,$C50,'Tray log'!$S$7:$S$306,IF($D50="Y","?*","")))</f>
        <v/>
      </c>
      <c r="L50" s="20"/>
      <c r="M50" s="18" t="str">
        <f aca="false">IF(OR(L50="",K50=""),"",ROUND((L50-K50)*1440,0))</f>
        <v/>
      </c>
      <c r="N50" s="27"/>
      <c r="O50" s="28" t="str">
        <f aca="false">IF(OR(N50="",N(H50)=0),"",N50/H50-1)</f>
        <v/>
      </c>
      <c r="P50" s="18" t="str">
        <f aca="false">IF(A50="","",IF(F50=0,"no tray in the log; ","")&amp;IF(E50="","part not on the Parts sheet; ","")&amp;IF(OR(B50="",C50=""),"batch / heat missing (type N/A if not available); ","")&amp;IF(M50="","",IF(ABS(M50)&gt;Settings!$B$11,"exit differs from the calculated time; ",""))&amp;IF(AND(L50&lt;&gt;"",L50&lt;J50),"actual exit before the entry; ",""))</f>
        <v/>
      </c>
      <c r="Q50" s="19"/>
    </row>
    <row r="51" customFormat="false" ht="15" hidden="false" customHeight="false" outlineLevel="0" collapsed="false">
      <c r="A51" s="19"/>
      <c r="B51" s="19"/>
      <c r="C51" s="19"/>
      <c r="D51" s="19"/>
      <c r="E51" s="18" t="str">
        <f aca="false">IF(A51="","",IFERROR(INDEX(Parts!$C$6:$C$45,MATCH(A51,Parts!$A$6:$A$45,0)),""))</f>
        <v/>
      </c>
      <c r="F51" s="18" t="str">
        <f aca="false">IF(A51="","",COUNTIFS('Tray log'!$F$7:$F$306,$A51,'Tray log'!$G$7:$G$306,$B51,'Tray log'!$H$7:$H$306,$C51,'Tray log'!$S$7:$S$306,IF($D51="Y","?*",""))+COUNTIFS('Tray log'!$K$7:$K$306,$A51,'Tray log'!$L$7:$L$306,$B51,'Tray log'!$M$7:$M$306,$C51,'Tray log'!$S$7:$S$306,IF($D51="Y","?*","")))</f>
        <v/>
      </c>
      <c r="G51" s="18" t="str">
        <f aca="false">IF(A51="","",SUMIFS('Tray log'!$J$7:$J$306,'Tray log'!$F$7:$F$306,$A51,'Tray log'!$G$7:$G$306,$B51,'Tray log'!$H$7:$H$306,$C51,'Tray log'!$S$7:$S$306,IF($D51="Y","?*",""))+SUMIFS('Tray log'!$N$7:$N$306,'Tray log'!$K$7:$K$306,$A51,'Tray log'!$L$7:$L$306,$B51,'Tray log'!$M$7:$M$306,$C51,'Tray log'!$S$7:$S$306,IF($D51="Y","?*","")))</f>
        <v/>
      </c>
      <c r="H51" s="24" t="str">
        <f aca="false">IF(A51="","",G51*IFERROR(INDEX(Parts!$F$6:$F$45,MATCH(A51,Parts!$A$6:$A$45,0)),0))</f>
        <v/>
      </c>
      <c r="I51" s="18" t="str">
        <f aca="false">IF(A51="","",SUMIFS('Tray log'!$J$7:$J$306,'Tray log'!$F$7:$F$306,$A51,'Tray log'!$G$7:$G$306,$B51,'Tray log'!$H$7:$H$306,$C51,'Tray log'!$S$7:$S$306,IF($D51="Y","?*",""),'Tray log'!$Y$7:$Y$306,Report!$B$7)+SUMIFS('Tray log'!$N$7:$N$306,'Tray log'!$K$7:$K$306,$A51,'Tray log'!$L$7:$L$306,$B51,'Tray log'!$M$7:$M$306,$C51,'Tray log'!$S$7:$S$306,IF($D51="Y","?*",""),'Tray log'!$Y$7:$Y$306,Report!$B$7))</f>
        <v/>
      </c>
      <c r="J51" s="22" t="str">
        <f aca="false">IF(OR(A51="",COUNTIFS('Tray log'!$F$7:$F$306,$A51,'Tray log'!$G$7:$G$306,$B51,'Tray log'!$H$7:$H$306,$C51,'Tray log'!$S$7:$S$306,IF($D51="Y","?*",""))=0),"",_xlfn.MINIFS('Tray log'!$E$7:$E$306,'Tray log'!$F$7:$F$306,$A51,'Tray log'!$G$7:$G$306,$B51,'Tray log'!$H$7:$H$306,$C51,'Tray log'!$S$7:$S$306,IF($D51="Y","?*","")))</f>
        <v/>
      </c>
      <c r="K51" s="22" t="str">
        <f aca="false">IF(OR(A51="",COUNTIFS('Tray log'!$F$7:$F$306,$A51,'Tray log'!$G$7:$G$306,$B51,'Tray log'!$H$7:$H$306,$C51,'Tray log'!$S$7:$S$306,IF($D51="Y","?*",""))=0),"",_xlfn.MAXIFS('Tray log'!$W$7:$W$306,'Tray log'!$F$7:$F$306,$A51,'Tray log'!$G$7:$G$306,$B51,'Tray log'!$H$7:$H$306,$C51,'Tray log'!$S$7:$S$306,IF($D51="Y","?*","")))</f>
        <v/>
      </c>
      <c r="L51" s="20"/>
      <c r="M51" s="18" t="str">
        <f aca="false">IF(OR(L51="",K51=""),"",ROUND((L51-K51)*1440,0))</f>
        <v/>
      </c>
      <c r="N51" s="27"/>
      <c r="O51" s="28" t="str">
        <f aca="false">IF(OR(N51="",N(H51)=0),"",N51/H51-1)</f>
        <v/>
      </c>
      <c r="P51" s="18" t="str">
        <f aca="false">IF(A51="","",IF(F51=0,"no tray in the log; ","")&amp;IF(E51="","part not on the Parts sheet; ","")&amp;IF(OR(B51="",C51=""),"batch / heat missing (type N/A if not available); ","")&amp;IF(M51="","",IF(ABS(M51)&gt;Settings!$B$11,"exit differs from the calculated time; ",""))&amp;IF(AND(L51&lt;&gt;"",L51&lt;J51),"actual exit before the entry; ",""))</f>
        <v/>
      </c>
      <c r="Q51" s="19"/>
    </row>
    <row r="52" customFormat="false" ht="15" hidden="false" customHeight="false" outlineLevel="0" collapsed="false">
      <c r="A52" s="19"/>
      <c r="B52" s="19"/>
      <c r="C52" s="19"/>
      <c r="D52" s="19"/>
      <c r="E52" s="18" t="str">
        <f aca="false">IF(A52="","",IFERROR(INDEX(Parts!$C$6:$C$45,MATCH(A52,Parts!$A$6:$A$45,0)),""))</f>
        <v/>
      </c>
      <c r="F52" s="18" t="str">
        <f aca="false">IF(A52="","",COUNTIFS('Tray log'!$F$7:$F$306,$A52,'Tray log'!$G$7:$G$306,$B52,'Tray log'!$H$7:$H$306,$C52,'Tray log'!$S$7:$S$306,IF($D52="Y","?*",""))+COUNTIFS('Tray log'!$K$7:$K$306,$A52,'Tray log'!$L$7:$L$306,$B52,'Tray log'!$M$7:$M$306,$C52,'Tray log'!$S$7:$S$306,IF($D52="Y","?*","")))</f>
        <v/>
      </c>
      <c r="G52" s="18" t="str">
        <f aca="false">IF(A52="","",SUMIFS('Tray log'!$J$7:$J$306,'Tray log'!$F$7:$F$306,$A52,'Tray log'!$G$7:$G$306,$B52,'Tray log'!$H$7:$H$306,$C52,'Tray log'!$S$7:$S$306,IF($D52="Y","?*",""))+SUMIFS('Tray log'!$N$7:$N$306,'Tray log'!$K$7:$K$306,$A52,'Tray log'!$L$7:$L$306,$B52,'Tray log'!$M$7:$M$306,$C52,'Tray log'!$S$7:$S$306,IF($D52="Y","?*","")))</f>
        <v/>
      </c>
      <c r="H52" s="24" t="str">
        <f aca="false">IF(A52="","",G52*IFERROR(INDEX(Parts!$F$6:$F$45,MATCH(A52,Parts!$A$6:$A$45,0)),0))</f>
        <v/>
      </c>
      <c r="I52" s="18" t="str">
        <f aca="false">IF(A52="","",SUMIFS('Tray log'!$J$7:$J$306,'Tray log'!$F$7:$F$306,$A52,'Tray log'!$G$7:$G$306,$B52,'Tray log'!$H$7:$H$306,$C52,'Tray log'!$S$7:$S$306,IF($D52="Y","?*",""),'Tray log'!$Y$7:$Y$306,Report!$B$7)+SUMIFS('Tray log'!$N$7:$N$306,'Tray log'!$K$7:$K$306,$A52,'Tray log'!$L$7:$L$306,$B52,'Tray log'!$M$7:$M$306,$C52,'Tray log'!$S$7:$S$306,IF($D52="Y","?*",""),'Tray log'!$Y$7:$Y$306,Report!$B$7))</f>
        <v/>
      </c>
      <c r="J52" s="22" t="str">
        <f aca="false">IF(OR(A52="",COUNTIFS('Tray log'!$F$7:$F$306,$A52,'Tray log'!$G$7:$G$306,$B52,'Tray log'!$H$7:$H$306,$C52,'Tray log'!$S$7:$S$306,IF($D52="Y","?*",""))=0),"",_xlfn.MINIFS('Tray log'!$E$7:$E$306,'Tray log'!$F$7:$F$306,$A52,'Tray log'!$G$7:$G$306,$B52,'Tray log'!$H$7:$H$306,$C52,'Tray log'!$S$7:$S$306,IF($D52="Y","?*","")))</f>
        <v/>
      </c>
      <c r="K52" s="22" t="str">
        <f aca="false">IF(OR(A52="",COUNTIFS('Tray log'!$F$7:$F$306,$A52,'Tray log'!$G$7:$G$306,$B52,'Tray log'!$H$7:$H$306,$C52,'Tray log'!$S$7:$S$306,IF($D52="Y","?*",""))=0),"",_xlfn.MAXIFS('Tray log'!$W$7:$W$306,'Tray log'!$F$7:$F$306,$A52,'Tray log'!$G$7:$G$306,$B52,'Tray log'!$H$7:$H$306,$C52,'Tray log'!$S$7:$S$306,IF($D52="Y","?*","")))</f>
        <v/>
      </c>
      <c r="L52" s="20"/>
      <c r="M52" s="18" t="str">
        <f aca="false">IF(OR(L52="",K52=""),"",ROUND((L52-K52)*1440,0))</f>
        <v/>
      </c>
      <c r="N52" s="27"/>
      <c r="O52" s="28" t="str">
        <f aca="false">IF(OR(N52="",N(H52)=0),"",N52/H52-1)</f>
        <v/>
      </c>
      <c r="P52" s="18" t="str">
        <f aca="false">IF(A52="","",IF(F52=0,"no tray in the log; ","")&amp;IF(E52="","part not on the Parts sheet; ","")&amp;IF(OR(B52="",C52=""),"batch / heat missing (type N/A if not available); ","")&amp;IF(M52="","",IF(ABS(M52)&gt;Settings!$B$11,"exit differs from the calculated time; ",""))&amp;IF(AND(L52&lt;&gt;"",L52&lt;J52),"actual exit before the entry; ",""))</f>
        <v/>
      </c>
      <c r="Q52" s="19"/>
    </row>
    <row r="53" customFormat="false" ht="15" hidden="false" customHeight="false" outlineLevel="0" collapsed="false">
      <c r="A53" s="19"/>
      <c r="B53" s="19"/>
      <c r="C53" s="19"/>
      <c r="D53" s="19"/>
      <c r="E53" s="18" t="str">
        <f aca="false">IF(A53="","",IFERROR(INDEX(Parts!$C$6:$C$45,MATCH(A53,Parts!$A$6:$A$45,0)),""))</f>
        <v/>
      </c>
      <c r="F53" s="18" t="str">
        <f aca="false">IF(A53="","",COUNTIFS('Tray log'!$F$7:$F$306,$A53,'Tray log'!$G$7:$G$306,$B53,'Tray log'!$H$7:$H$306,$C53,'Tray log'!$S$7:$S$306,IF($D53="Y","?*",""))+COUNTIFS('Tray log'!$K$7:$K$306,$A53,'Tray log'!$L$7:$L$306,$B53,'Tray log'!$M$7:$M$306,$C53,'Tray log'!$S$7:$S$306,IF($D53="Y","?*","")))</f>
        <v/>
      </c>
      <c r="G53" s="18" t="str">
        <f aca="false">IF(A53="","",SUMIFS('Tray log'!$J$7:$J$306,'Tray log'!$F$7:$F$306,$A53,'Tray log'!$G$7:$G$306,$B53,'Tray log'!$H$7:$H$306,$C53,'Tray log'!$S$7:$S$306,IF($D53="Y","?*",""))+SUMIFS('Tray log'!$N$7:$N$306,'Tray log'!$K$7:$K$306,$A53,'Tray log'!$L$7:$L$306,$B53,'Tray log'!$M$7:$M$306,$C53,'Tray log'!$S$7:$S$306,IF($D53="Y","?*","")))</f>
        <v/>
      </c>
      <c r="H53" s="24" t="str">
        <f aca="false">IF(A53="","",G53*IFERROR(INDEX(Parts!$F$6:$F$45,MATCH(A53,Parts!$A$6:$A$45,0)),0))</f>
        <v/>
      </c>
      <c r="I53" s="18" t="str">
        <f aca="false">IF(A53="","",SUMIFS('Tray log'!$J$7:$J$306,'Tray log'!$F$7:$F$306,$A53,'Tray log'!$G$7:$G$306,$B53,'Tray log'!$H$7:$H$306,$C53,'Tray log'!$S$7:$S$306,IF($D53="Y","?*",""),'Tray log'!$Y$7:$Y$306,Report!$B$7)+SUMIFS('Tray log'!$N$7:$N$306,'Tray log'!$K$7:$K$306,$A53,'Tray log'!$L$7:$L$306,$B53,'Tray log'!$M$7:$M$306,$C53,'Tray log'!$S$7:$S$306,IF($D53="Y","?*",""),'Tray log'!$Y$7:$Y$306,Report!$B$7))</f>
        <v/>
      </c>
      <c r="J53" s="22" t="str">
        <f aca="false">IF(OR(A53="",COUNTIFS('Tray log'!$F$7:$F$306,$A53,'Tray log'!$G$7:$G$306,$B53,'Tray log'!$H$7:$H$306,$C53,'Tray log'!$S$7:$S$306,IF($D53="Y","?*",""))=0),"",_xlfn.MINIFS('Tray log'!$E$7:$E$306,'Tray log'!$F$7:$F$306,$A53,'Tray log'!$G$7:$G$306,$B53,'Tray log'!$H$7:$H$306,$C53,'Tray log'!$S$7:$S$306,IF($D53="Y","?*","")))</f>
        <v/>
      </c>
      <c r="K53" s="22" t="str">
        <f aca="false">IF(OR(A53="",COUNTIFS('Tray log'!$F$7:$F$306,$A53,'Tray log'!$G$7:$G$306,$B53,'Tray log'!$H$7:$H$306,$C53,'Tray log'!$S$7:$S$306,IF($D53="Y","?*",""))=0),"",_xlfn.MAXIFS('Tray log'!$W$7:$W$306,'Tray log'!$F$7:$F$306,$A53,'Tray log'!$G$7:$G$306,$B53,'Tray log'!$H$7:$H$306,$C53,'Tray log'!$S$7:$S$306,IF($D53="Y","?*","")))</f>
        <v/>
      </c>
      <c r="L53" s="20"/>
      <c r="M53" s="18" t="str">
        <f aca="false">IF(OR(L53="",K53=""),"",ROUND((L53-K53)*1440,0))</f>
        <v/>
      </c>
      <c r="N53" s="27"/>
      <c r="O53" s="28" t="str">
        <f aca="false">IF(OR(N53="",N(H53)=0),"",N53/H53-1)</f>
        <v/>
      </c>
      <c r="P53" s="18" t="str">
        <f aca="false">IF(A53="","",IF(F53=0,"no tray in the log; ","")&amp;IF(E53="","part not on the Parts sheet; ","")&amp;IF(OR(B53="",C53=""),"batch / heat missing (type N/A if not available); ","")&amp;IF(M53="","",IF(ABS(M53)&gt;Settings!$B$11,"exit differs from the calculated time; ",""))&amp;IF(AND(L53&lt;&gt;"",L53&lt;J53),"actual exit before the entry; ",""))</f>
        <v/>
      </c>
      <c r="Q53" s="19"/>
    </row>
    <row r="54" customFormat="false" ht="15" hidden="false" customHeight="false" outlineLevel="0" collapsed="false">
      <c r="A54" s="19"/>
      <c r="B54" s="19"/>
      <c r="C54" s="19"/>
      <c r="D54" s="19"/>
      <c r="E54" s="18" t="str">
        <f aca="false">IF(A54="","",IFERROR(INDEX(Parts!$C$6:$C$45,MATCH(A54,Parts!$A$6:$A$45,0)),""))</f>
        <v/>
      </c>
      <c r="F54" s="18" t="str">
        <f aca="false">IF(A54="","",COUNTIFS('Tray log'!$F$7:$F$306,$A54,'Tray log'!$G$7:$G$306,$B54,'Tray log'!$H$7:$H$306,$C54,'Tray log'!$S$7:$S$306,IF($D54="Y","?*",""))+COUNTIFS('Tray log'!$K$7:$K$306,$A54,'Tray log'!$L$7:$L$306,$B54,'Tray log'!$M$7:$M$306,$C54,'Tray log'!$S$7:$S$306,IF($D54="Y","?*","")))</f>
        <v/>
      </c>
      <c r="G54" s="18" t="str">
        <f aca="false">IF(A54="","",SUMIFS('Tray log'!$J$7:$J$306,'Tray log'!$F$7:$F$306,$A54,'Tray log'!$G$7:$G$306,$B54,'Tray log'!$H$7:$H$306,$C54,'Tray log'!$S$7:$S$306,IF($D54="Y","?*",""))+SUMIFS('Tray log'!$N$7:$N$306,'Tray log'!$K$7:$K$306,$A54,'Tray log'!$L$7:$L$306,$B54,'Tray log'!$M$7:$M$306,$C54,'Tray log'!$S$7:$S$306,IF($D54="Y","?*","")))</f>
        <v/>
      </c>
      <c r="H54" s="24" t="str">
        <f aca="false">IF(A54="","",G54*IFERROR(INDEX(Parts!$F$6:$F$45,MATCH(A54,Parts!$A$6:$A$45,0)),0))</f>
        <v/>
      </c>
      <c r="I54" s="18" t="str">
        <f aca="false">IF(A54="","",SUMIFS('Tray log'!$J$7:$J$306,'Tray log'!$F$7:$F$306,$A54,'Tray log'!$G$7:$G$306,$B54,'Tray log'!$H$7:$H$306,$C54,'Tray log'!$S$7:$S$306,IF($D54="Y","?*",""),'Tray log'!$Y$7:$Y$306,Report!$B$7)+SUMIFS('Tray log'!$N$7:$N$306,'Tray log'!$K$7:$K$306,$A54,'Tray log'!$L$7:$L$306,$B54,'Tray log'!$M$7:$M$306,$C54,'Tray log'!$S$7:$S$306,IF($D54="Y","?*",""),'Tray log'!$Y$7:$Y$306,Report!$B$7))</f>
        <v/>
      </c>
      <c r="J54" s="22" t="str">
        <f aca="false">IF(OR(A54="",COUNTIFS('Tray log'!$F$7:$F$306,$A54,'Tray log'!$G$7:$G$306,$B54,'Tray log'!$H$7:$H$306,$C54,'Tray log'!$S$7:$S$306,IF($D54="Y","?*",""))=0),"",_xlfn.MINIFS('Tray log'!$E$7:$E$306,'Tray log'!$F$7:$F$306,$A54,'Tray log'!$G$7:$G$306,$B54,'Tray log'!$H$7:$H$306,$C54,'Tray log'!$S$7:$S$306,IF($D54="Y","?*","")))</f>
        <v/>
      </c>
      <c r="K54" s="22" t="str">
        <f aca="false">IF(OR(A54="",COUNTIFS('Tray log'!$F$7:$F$306,$A54,'Tray log'!$G$7:$G$306,$B54,'Tray log'!$H$7:$H$306,$C54,'Tray log'!$S$7:$S$306,IF($D54="Y","?*",""))=0),"",_xlfn.MAXIFS('Tray log'!$W$7:$W$306,'Tray log'!$F$7:$F$306,$A54,'Tray log'!$G$7:$G$306,$B54,'Tray log'!$H$7:$H$306,$C54,'Tray log'!$S$7:$S$306,IF($D54="Y","?*","")))</f>
        <v/>
      </c>
      <c r="L54" s="20"/>
      <c r="M54" s="18" t="str">
        <f aca="false">IF(OR(L54="",K54=""),"",ROUND((L54-K54)*1440,0))</f>
        <v/>
      </c>
      <c r="N54" s="27"/>
      <c r="O54" s="28" t="str">
        <f aca="false">IF(OR(N54="",N(H54)=0),"",N54/H54-1)</f>
        <v/>
      </c>
      <c r="P54" s="18" t="str">
        <f aca="false">IF(A54="","",IF(F54=0,"no tray in the log; ","")&amp;IF(E54="","part not on the Parts sheet; ","")&amp;IF(OR(B54="",C54=""),"batch / heat missing (type N/A if not available); ","")&amp;IF(M54="","",IF(ABS(M54)&gt;Settings!$B$11,"exit differs from the calculated time; ",""))&amp;IF(AND(L54&lt;&gt;"",L54&lt;J54),"actual exit before the entry; ",""))</f>
        <v/>
      </c>
      <c r="Q54" s="19"/>
    </row>
    <row r="55" customFormat="false" ht="15" hidden="false" customHeight="false" outlineLevel="0" collapsed="false">
      <c r="A55" s="19"/>
      <c r="B55" s="19"/>
      <c r="C55" s="19"/>
      <c r="D55" s="19"/>
      <c r="E55" s="18" t="str">
        <f aca="false">IF(A55="","",IFERROR(INDEX(Parts!$C$6:$C$45,MATCH(A55,Parts!$A$6:$A$45,0)),""))</f>
        <v/>
      </c>
      <c r="F55" s="18" t="str">
        <f aca="false">IF(A55="","",COUNTIFS('Tray log'!$F$7:$F$306,$A55,'Tray log'!$G$7:$G$306,$B55,'Tray log'!$H$7:$H$306,$C55,'Tray log'!$S$7:$S$306,IF($D55="Y","?*",""))+COUNTIFS('Tray log'!$K$7:$K$306,$A55,'Tray log'!$L$7:$L$306,$B55,'Tray log'!$M$7:$M$306,$C55,'Tray log'!$S$7:$S$306,IF($D55="Y","?*","")))</f>
        <v/>
      </c>
      <c r="G55" s="18" t="str">
        <f aca="false">IF(A55="","",SUMIFS('Tray log'!$J$7:$J$306,'Tray log'!$F$7:$F$306,$A55,'Tray log'!$G$7:$G$306,$B55,'Tray log'!$H$7:$H$306,$C55,'Tray log'!$S$7:$S$306,IF($D55="Y","?*",""))+SUMIFS('Tray log'!$N$7:$N$306,'Tray log'!$K$7:$K$306,$A55,'Tray log'!$L$7:$L$306,$B55,'Tray log'!$M$7:$M$306,$C55,'Tray log'!$S$7:$S$306,IF($D55="Y","?*","")))</f>
        <v/>
      </c>
      <c r="H55" s="24" t="str">
        <f aca="false">IF(A55="","",G55*IFERROR(INDEX(Parts!$F$6:$F$45,MATCH(A55,Parts!$A$6:$A$45,0)),0))</f>
        <v/>
      </c>
      <c r="I55" s="18" t="str">
        <f aca="false">IF(A55="","",SUMIFS('Tray log'!$J$7:$J$306,'Tray log'!$F$7:$F$306,$A55,'Tray log'!$G$7:$G$306,$B55,'Tray log'!$H$7:$H$306,$C55,'Tray log'!$S$7:$S$306,IF($D55="Y","?*",""),'Tray log'!$Y$7:$Y$306,Report!$B$7)+SUMIFS('Tray log'!$N$7:$N$306,'Tray log'!$K$7:$K$306,$A55,'Tray log'!$L$7:$L$306,$B55,'Tray log'!$M$7:$M$306,$C55,'Tray log'!$S$7:$S$306,IF($D55="Y","?*",""),'Tray log'!$Y$7:$Y$306,Report!$B$7))</f>
        <v/>
      </c>
      <c r="J55" s="22" t="str">
        <f aca="false">IF(OR(A55="",COUNTIFS('Tray log'!$F$7:$F$306,$A55,'Tray log'!$G$7:$G$306,$B55,'Tray log'!$H$7:$H$306,$C55,'Tray log'!$S$7:$S$306,IF($D55="Y","?*",""))=0),"",_xlfn.MINIFS('Tray log'!$E$7:$E$306,'Tray log'!$F$7:$F$306,$A55,'Tray log'!$G$7:$G$306,$B55,'Tray log'!$H$7:$H$306,$C55,'Tray log'!$S$7:$S$306,IF($D55="Y","?*","")))</f>
        <v/>
      </c>
      <c r="K55" s="22" t="str">
        <f aca="false">IF(OR(A55="",COUNTIFS('Tray log'!$F$7:$F$306,$A55,'Tray log'!$G$7:$G$306,$B55,'Tray log'!$H$7:$H$306,$C55,'Tray log'!$S$7:$S$306,IF($D55="Y","?*",""))=0),"",_xlfn.MAXIFS('Tray log'!$W$7:$W$306,'Tray log'!$F$7:$F$306,$A55,'Tray log'!$G$7:$G$306,$B55,'Tray log'!$H$7:$H$306,$C55,'Tray log'!$S$7:$S$306,IF($D55="Y","?*","")))</f>
        <v/>
      </c>
      <c r="L55" s="20"/>
      <c r="M55" s="18" t="str">
        <f aca="false">IF(OR(L55="",K55=""),"",ROUND((L55-K55)*1440,0))</f>
        <v/>
      </c>
      <c r="N55" s="27"/>
      <c r="O55" s="28" t="str">
        <f aca="false">IF(OR(N55="",N(H55)=0),"",N55/H55-1)</f>
        <v/>
      </c>
      <c r="P55" s="18" t="str">
        <f aca="false">IF(A55="","",IF(F55=0,"no tray in the log; ","")&amp;IF(E55="","part not on the Parts sheet; ","")&amp;IF(OR(B55="",C55=""),"batch / heat missing (type N/A if not available); ","")&amp;IF(M55="","",IF(ABS(M55)&gt;Settings!$B$11,"exit differs from the calculated time; ",""))&amp;IF(AND(L55&lt;&gt;"",L55&lt;J55),"actual exit before the entry; ",""))</f>
        <v/>
      </c>
      <c r="Q55" s="19"/>
    </row>
    <row r="56" customFormat="false" ht="15" hidden="false" customHeight="false" outlineLevel="0" collapsed="false">
      <c r="A56" s="19"/>
      <c r="B56" s="19"/>
      <c r="C56" s="19"/>
      <c r="D56" s="19"/>
      <c r="E56" s="18" t="str">
        <f aca="false">IF(A56="","",IFERROR(INDEX(Parts!$C$6:$C$45,MATCH(A56,Parts!$A$6:$A$45,0)),""))</f>
        <v/>
      </c>
      <c r="F56" s="18" t="str">
        <f aca="false">IF(A56="","",COUNTIFS('Tray log'!$F$7:$F$306,$A56,'Tray log'!$G$7:$G$306,$B56,'Tray log'!$H$7:$H$306,$C56,'Tray log'!$S$7:$S$306,IF($D56="Y","?*",""))+COUNTIFS('Tray log'!$K$7:$K$306,$A56,'Tray log'!$L$7:$L$306,$B56,'Tray log'!$M$7:$M$306,$C56,'Tray log'!$S$7:$S$306,IF($D56="Y","?*","")))</f>
        <v/>
      </c>
      <c r="G56" s="18" t="str">
        <f aca="false">IF(A56="","",SUMIFS('Tray log'!$J$7:$J$306,'Tray log'!$F$7:$F$306,$A56,'Tray log'!$G$7:$G$306,$B56,'Tray log'!$H$7:$H$306,$C56,'Tray log'!$S$7:$S$306,IF($D56="Y","?*",""))+SUMIFS('Tray log'!$N$7:$N$306,'Tray log'!$K$7:$K$306,$A56,'Tray log'!$L$7:$L$306,$B56,'Tray log'!$M$7:$M$306,$C56,'Tray log'!$S$7:$S$306,IF($D56="Y","?*","")))</f>
        <v/>
      </c>
      <c r="H56" s="24" t="str">
        <f aca="false">IF(A56="","",G56*IFERROR(INDEX(Parts!$F$6:$F$45,MATCH(A56,Parts!$A$6:$A$45,0)),0))</f>
        <v/>
      </c>
      <c r="I56" s="18" t="str">
        <f aca="false">IF(A56="","",SUMIFS('Tray log'!$J$7:$J$306,'Tray log'!$F$7:$F$306,$A56,'Tray log'!$G$7:$G$306,$B56,'Tray log'!$H$7:$H$306,$C56,'Tray log'!$S$7:$S$306,IF($D56="Y","?*",""),'Tray log'!$Y$7:$Y$306,Report!$B$7)+SUMIFS('Tray log'!$N$7:$N$306,'Tray log'!$K$7:$K$306,$A56,'Tray log'!$L$7:$L$306,$B56,'Tray log'!$M$7:$M$306,$C56,'Tray log'!$S$7:$S$306,IF($D56="Y","?*",""),'Tray log'!$Y$7:$Y$306,Report!$B$7))</f>
        <v/>
      </c>
      <c r="J56" s="22" t="str">
        <f aca="false">IF(OR(A56="",COUNTIFS('Tray log'!$F$7:$F$306,$A56,'Tray log'!$G$7:$G$306,$B56,'Tray log'!$H$7:$H$306,$C56,'Tray log'!$S$7:$S$306,IF($D56="Y","?*",""))=0),"",_xlfn.MINIFS('Tray log'!$E$7:$E$306,'Tray log'!$F$7:$F$306,$A56,'Tray log'!$G$7:$G$306,$B56,'Tray log'!$H$7:$H$306,$C56,'Tray log'!$S$7:$S$306,IF($D56="Y","?*","")))</f>
        <v/>
      </c>
      <c r="K56" s="22" t="str">
        <f aca="false">IF(OR(A56="",COUNTIFS('Tray log'!$F$7:$F$306,$A56,'Tray log'!$G$7:$G$306,$B56,'Tray log'!$H$7:$H$306,$C56,'Tray log'!$S$7:$S$306,IF($D56="Y","?*",""))=0),"",_xlfn.MAXIFS('Tray log'!$W$7:$W$306,'Tray log'!$F$7:$F$306,$A56,'Tray log'!$G$7:$G$306,$B56,'Tray log'!$H$7:$H$306,$C56,'Tray log'!$S$7:$S$306,IF($D56="Y","?*","")))</f>
        <v/>
      </c>
      <c r="L56" s="20"/>
      <c r="M56" s="18" t="str">
        <f aca="false">IF(OR(L56="",K56=""),"",ROUND((L56-K56)*1440,0))</f>
        <v/>
      </c>
      <c r="N56" s="27"/>
      <c r="O56" s="28" t="str">
        <f aca="false">IF(OR(N56="",N(H56)=0),"",N56/H56-1)</f>
        <v/>
      </c>
      <c r="P56" s="18" t="str">
        <f aca="false">IF(A56="","",IF(F56=0,"no tray in the log; ","")&amp;IF(E56="","part not on the Parts sheet; ","")&amp;IF(OR(B56="",C56=""),"batch / heat missing (type N/A if not available); ","")&amp;IF(M56="","",IF(ABS(M56)&gt;Settings!$B$11,"exit differs from the calculated time; ",""))&amp;IF(AND(L56&lt;&gt;"",L56&lt;J56),"actual exit before the entry; ",""))</f>
        <v/>
      </c>
      <c r="Q56" s="19"/>
    </row>
    <row r="57" customFormat="false" ht="15" hidden="false" customHeight="false" outlineLevel="0" collapsed="false">
      <c r="A57" s="19"/>
      <c r="B57" s="19"/>
      <c r="C57" s="19"/>
      <c r="D57" s="19"/>
      <c r="E57" s="18" t="str">
        <f aca="false">IF(A57="","",IFERROR(INDEX(Parts!$C$6:$C$45,MATCH(A57,Parts!$A$6:$A$45,0)),""))</f>
        <v/>
      </c>
      <c r="F57" s="18" t="str">
        <f aca="false">IF(A57="","",COUNTIFS('Tray log'!$F$7:$F$306,$A57,'Tray log'!$G$7:$G$306,$B57,'Tray log'!$H$7:$H$306,$C57,'Tray log'!$S$7:$S$306,IF($D57="Y","?*",""))+COUNTIFS('Tray log'!$K$7:$K$306,$A57,'Tray log'!$L$7:$L$306,$B57,'Tray log'!$M$7:$M$306,$C57,'Tray log'!$S$7:$S$306,IF($D57="Y","?*","")))</f>
        <v/>
      </c>
      <c r="G57" s="18" t="str">
        <f aca="false">IF(A57="","",SUMIFS('Tray log'!$J$7:$J$306,'Tray log'!$F$7:$F$306,$A57,'Tray log'!$G$7:$G$306,$B57,'Tray log'!$H$7:$H$306,$C57,'Tray log'!$S$7:$S$306,IF($D57="Y","?*",""))+SUMIFS('Tray log'!$N$7:$N$306,'Tray log'!$K$7:$K$306,$A57,'Tray log'!$L$7:$L$306,$B57,'Tray log'!$M$7:$M$306,$C57,'Tray log'!$S$7:$S$306,IF($D57="Y","?*","")))</f>
        <v/>
      </c>
      <c r="H57" s="24" t="str">
        <f aca="false">IF(A57="","",G57*IFERROR(INDEX(Parts!$F$6:$F$45,MATCH(A57,Parts!$A$6:$A$45,0)),0))</f>
        <v/>
      </c>
      <c r="I57" s="18" t="str">
        <f aca="false">IF(A57="","",SUMIFS('Tray log'!$J$7:$J$306,'Tray log'!$F$7:$F$306,$A57,'Tray log'!$G$7:$G$306,$B57,'Tray log'!$H$7:$H$306,$C57,'Tray log'!$S$7:$S$306,IF($D57="Y","?*",""),'Tray log'!$Y$7:$Y$306,Report!$B$7)+SUMIFS('Tray log'!$N$7:$N$306,'Tray log'!$K$7:$K$306,$A57,'Tray log'!$L$7:$L$306,$B57,'Tray log'!$M$7:$M$306,$C57,'Tray log'!$S$7:$S$306,IF($D57="Y","?*",""),'Tray log'!$Y$7:$Y$306,Report!$B$7))</f>
        <v/>
      </c>
      <c r="J57" s="22" t="str">
        <f aca="false">IF(OR(A57="",COUNTIFS('Tray log'!$F$7:$F$306,$A57,'Tray log'!$G$7:$G$306,$B57,'Tray log'!$H$7:$H$306,$C57,'Tray log'!$S$7:$S$306,IF($D57="Y","?*",""))=0),"",_xlfn.MINIFS('Tray log'!$E$7:$E$306,'Tray log'!$F$7:$F$306,$A57,'Tray log'!$G$7:$G$306,$B57,'Tray log'!$H$7:$H$306,$C57,'Tray log'!$S$7:$S$306,IF($D57="Y","?*","")))</f>
        <v/>
      </c>
      <c r="K57" s="22" t="str">
        <f aca="false">IF(OR(A57="",COUNTIFS('Tray log'!$F$7:$F$306,$A57,'Tray log'!$G$7:$G$306,$B57,'Tray log'!$H$7:$H$306,$C57,'Tray log'!$S$7:$S$306,IF($D57="Y","?*",""))=0),"",_xlfn.MAXIFS('Tray log'!$W$7:$W$306,'Tray log'!$F$7:$F$306,$A57,'Tray log'!$G$7:$G$306,$B57,'Tray log'!$H$7:$H$306,$C57,'Tray log'!$S$7:$S$306,IF($D57="Y","?*","")))</f>
        <v/>
      </c>
      <c r="L57" s="20"/>
      <c r="M57" s="18" t="str">
        <f aca="false">IF(OR(L57="",K57=""),"",ROUND((L57-K57)*1440,0))</f>
        <v/>
      </c>
      <c r="N57" s="27"/>
      <c r="O57" s="28" t="str">
        <f aca="false">IF(OR(N57="",N(H57)=0),"",N57/H57-1)</f>
        <v/>
      </c>
      <c r="P57" s="18" t="str">
        <f aca="false">IF(A57="","",IF(F57=0,"no tray in the log; ","")&amp;IF(E57="","part not on the Parts sheet; ","")&amp;IF(OR(B57="",C57=""),"batch / heat missing (type N/A if not available); ","")&amp;IF(M57="","",IF(ABS(M57)&gt;Settings!$B$11,"exit differs from the calculated time; ",""))&amp;IF(AND(L57&lt;&gt;"",L57&lt;J57),"actual exit before the entry; ",""))</f>
        <v/>
      </c>
      <c r="Q57" s="19"/>
    </row>
    <row r="58" customFormat="false" ht="15" hidden="false" customHeight="false" outlineLevel="0" collapsed="false">
      <c r="A58" s="19"/>
      <c r="B58" s="19"/>
      <c r="C58" s="19"/>
      <c r="D58" s="19"/>
      <c r="E58" s="18" t="str">
        <f aca="false">IF(A58="","",IFERROR(INDEX(Parts!$C$6:$C$45,MATCH(A58,Parts!$A$6:$A$45,0)),""))</f>
        <v/>
      </c>
      <c r="F58" s="18" t="str">
        <f aca="false">IF(A58="","",COUNTIFS('Tray log'!$F$7:$F$306,$A58,'Tray log'!$G$7:$G$306,$B58,'Tray log'!$H$7:$H$306,$C58,'Tray log'!$S$7:$S$306,IF($D58="Y","?*",""))+COUNTIFS('Tray log'!$K$7:$K$306,$A58,'Tray log'!$L$7:$L$306,$B58,'Tray log'!$M$7:$M$306,$C58,'Tray log'!$S$7:$S$306,IF($D58="Y","?*","")))</f>
        <v/>
      </c>
      <c r="G58" s="18" t="str">
        <f aca="false">IF(A58="","",SUMIFS('Tray log'!$J$7:$J$306,'Tray log'!$F$7:$F$306,$A58,'Tray log'!$G$7:$G$306,$B58,'Tray log'!$H$7:$H$306,$C58,'Tray log'!$S$7:$S$306,IF($D58="Y","?*",""))+SUMIFS('Tray log'!$N$7:$N$306,'Tray log'!$K$7:$K$306,$A58,'Tray log'!$L$7:$L$306,$B58,'Tray log'!$M$7:$M$306,$C58,'Tray log'!$S$7:$S$306,IF($D58="Y","?*","")))</f>
        <v/>
      </c>
      <c r="H58" s="24" t="str">
        <f aca="false">IF(A58="","",G58*IFERROR(INDEX(Parts!$F$6:$F$45,MATCH(A58,Parts!$A$6:$A$45,0)),0))</f>
        <v/>
      </c>
      <c r="I58" s="18" t="str">
        <f aca="false">IF(A58="","",SUMIFS('Tray log'!$J$7:$J$306,'Tray log'!$F$7:$F$306,$A58,'Tray log'!$G$7:$G$306,$B58,'Tray log'!$H$7:$H$306,$C58,'Tray log'!$S$7:$S$306,IF($D58="Y","?*",""),'Tray log'!$Y$7:$Y$306,Report!$B$7)+SUMIFS('Tray log'!$N$7:$N$306,'Tray log'!$K$7:$K$306,$A58,'Tray log'!$L$7:$L$306,$B58,'Tray log'!$M$7:$M$306,$C58,'Tray log'!$S$7:$S$306,IF($D58="Y","?*",""),'Tray log'!$Y$7:$Y$306,Report!$B$7))</f>
        <v/>
      </c>
      <c r="J58" s="22" t="str">
        <f aca="false">IF(OR(A58="",COUNTIFS('Tray log'!$F$7:$F$306,$A58,'Tray log'!$G$7:$G$306,$B58,'Tray log'!$H$7:$H$306,$C58,'Tray log'!$S$7:$S$306,IF($D58="Y","?*",""))=0),"",_xlfn.MINIFS('Tray log'!$E$7:$E$306,'Tray log'!$F$7:$F$306,$A58,'Tray log'!$G$7:$G$306,$B58,'Tray log'!$H$7:$H$306,$C58,'Tray log'!$S$7:$S$306,IF($D58="Y","?*","")))</f>
        <v/>
      </c>
      <c r="K58" s="22" t="str">
        <f aca="false">IF(OR(A58="",COUNTIFS('Tray log'!$F$7:$F$306,$A58,'Tray log'!$G$7:$G$306,$B58,'Tray log'!$H$7:$H$306,$C58,'Tray log'!$S$7:$S$306,IF($D58="Y","?*",""))=0),"",_xlfn.MAXIFS('Tray log'!$W$7:$W$306,'Tray log'!$F$7:$F$306,$A58,'Tray log'!$G$7:$G$306,$B58,'Tray log'!$H$7:$H$306,$C58,'Tray log'!$S$7:$S$306,IF($D58="Y","?*","")))</f>
        <v/>
      </c>
      <c r="L58" s="20"/>
      <c r="M58" s="18" t="str">
        <f aca="false">IF(OR(L58="",K58=""),"",ROUND((L58-K58)*1440,0))</f>
        <v/>
      </c>
      <c r="N58" s="27"/>
      <c r="O58" s="28" t="str">
        <f aca="false">IF(OR(N58="",N(H58)=0),"",N58/H58-1)</f>
        <v/>
      </c>
      <c r="P58" s="18" t="str">
        <f aca="false">IF(A58="","",IF(F58=0,"no tray in the log; ","")&amp;IF(E58="","part not on the Parts sheet; ","")&amp;IF(OR(B58="",C58=""),"batch / heat missing (type N/A if not available); ","")&amp;IF(M58="","",IF(ABS(M58)&gt;Settings!$B$11,"exit differs from the calculated time; ",""))&amp;IF(AND(L58&lt;&gt;"",L58&lt;J58),"actual exit before the entry; ",""))</f>
        <v/>
      </c>
      <c r="Q58" s="19"/>
    </row>
    <row r="59" customFormat="false" ht="15" hidden="false" customHeight="false" outlineLevel="0" collapsed="false">
      <c r="A59" s="19"/>
      <c r="B59" s="19"/>
      <c r="C59" s="19"/>
      <c r="D59" s="19"/>
      <c r="E59" s="18" t="str">
        <f aca="false">IF(A59="","",IFERROR(INDEX(Parts!$C$6:$C$45,MATCH(A59,Parts!$A$6:$A$45,0)),""))</f>
        <v/>
      </c>
      <c r="F59" s="18" t="str">
        <f aca="false">IF(A59="","",COUNTIFS('Tray log'!$F$7:$F$306,$A59,'Tray log'!$G$7:$G$306,$B59,'Tray log'!$H$7:$H$306,$C59,'Tray log'!$S$7:$S$306,IF($D59="Y","?*",""))+COUNTIFS('Tray log'!$K$7:$K$306,$A59,'Tray log'!$L$7:$L$306,$B59,'Tray log'!$M$7:$M$306,$C59,'Tray log'!$S$7:$S$306,IF($D59="Y","?*","")))</f>
        <v/>
      </c>
      <c r="G59" s="18" t="str">
        <f aca="false">IF(A59="","",SUMIFS('Tray log'!$J$7:$J$306,'Tray log'!$F$7:$F$306,$A59,'Tray log'!$G$7:$G$306,$B59,'Tray log'!$H$7:$H$306,$C59,'Tray log'!$S$7:$S$306,IF($D59="Y","?*",""))+SUMIFS('Tray log'!$N$7:$N$306,'Tray log'!$K$7:$K$306,$A59,'Tray log'!$L$7:$L$306,$B59,'Tray log'!$M$7:$M$306,$C59,'Tray log'!$S$7:$S$306,IF($D59="Y","?*","")))</f>
        <v/>
      </c>
      <c r="H59" s="24" t="str">
        <f aca="false">IF(A59="","",G59*IFERROR(INDEX(Parts!$F$6:$F$45,MATCH(A59,Parts!$A$6:$A$45,0)),0))</f>
        <v/>
      </c>
      <c r="I59" s="18" t="str">
        <f aca="false">IF(A59="","",SUMIFS('Tray log'!$J$7:$J$306,'Tray log'!$F$7:$F$306,$A59,'Tray log'!$G$7:$G$306,$B59,'Tray log'!$H$7:$H$306,$C59,'Tray log'!$S$7:$S$306,IF($D59="Y","?*",""),'Tray log'!$Y$7:$Y$306,Report!$B$7)+SUMIFS('Tray log'!$N$7:$N$306,'Tray log'!$K$7:$K$306,$A59,'Tray log'!$L$7:$L$306,$B59,'Tray log'!$M$7:$M$306,$C59,'Tray log'!$S$7:$S$306,IF($D59="Y","?*",""),'Tray log'!$Y$7:$Y$306,Report!$B$7))</f>
        <v/>
      </c>
      <c r="J59" s="22" t="str">
        <f aca="false">IF(OR(A59="",COUNTIFS('Tray log'!$F$7:$F$306,$A59,'Tray log'!$G$7:$G$306,$B59,'Tray log'!$H$7:$H$306,$C59,'Tray log'!$S$7:$S$306,IF($D59="Y","?*",""))=0),"",_xlfn.MINIFS('Tray log'!$E$7:$E$306,'Tray log'!$F$7:$F$306,$A59,'Tray log'!$G$7:$G$306,$B59,'Tray log'!$H$7:$H$306,$C59,'Tray log'!$S$7:$S$306,IF($D59="Y","?*","")))</f>
        <v/>
      </c>
      <c r="K59" s="22" t="str">
        <f aca="false">IF(OR(A59="",COUNTIFS('Tray log'!$F$7:$F$306,$A59,'Tray log'!$G$7:$G$306,$B59,'Tray log'!$H$7:$H$306,$C59,'Tray log'!$S$7:$S$306,IF($D59="Y","?*",""))=0),"",_xlfn.MAXIFS('Tray log'!$W$7:$W$306,'Tray log'!$F$7:$F$306,$A59,'Tray log'!$G$7:$G$306,$B59,'Tray log'!$H$7:$H$306,$C59,'Tray log'!$S$7:$S$306,IF($D59="Y","?*","")))</f>
        <v/>
      </c>
      <c r="L59" s="20"/>
      <c r="M59" s="18" t="str">
        <f aca="false">IF(OR(L59="",K59=""),"",ROUND((L59-K59)*1440,0))</f>
        <v/>
      </c>
      <c r="N59" s="27"/>
      <c r="O59" s="28" t="str">
        <f aca="false">IF(OR(N59="",N(H59)=0),"",N59/H59-1)</f>
        <v/>
      </c>
      <c r="P59" s="18" t="str">
        <f aca="false">IF(A59="","",IF(F59=0,"no tray in the log; ","")&amp;IF(E59="","part not on the Parts sheet; ","")&amp;IF(OR(B59="",C59=""),"batch / heat missing (type N/A if not available); ","")&amp;IF(M59="","",IF(ABS(M59)&gt;Settings!$B$11,"exit differs from the calculated time; ",""))&amp;IF(AND(L59&lt;&gt;"",L59&lt;J59),"actual exit before the entry; ",""))</f>
        <v/>
      </c>
      <c r="Q59" s="19"/>
    </row>
    <row r="60" customFormat="false" ht="15" hidden="false" customHeight="false" outlineLevel="0" collapsed="false">
      <c r="A60" s="19"/>
      <c r="B60" s="19"/>
      <c r="C60" s="19"/>
      <c r="D60" s="19"/>
      <c r="E60" s="18" t="str">
        <f aca="false">IF(A60="","",IFERROR(INDEX(Parts!$C$6:$C$45,MATCH(A60,Parts!$A$6:$A$45,0)),""))</f>
        <v/>
      </c>
      <c r="F60" s="18" t="str">
        <f aca="false">IF(A60="","",COUNTIFS('Tray log'!$F$7:$F$306,$A60,'Tray log'!$G$7:$G$306,$B60,'Tray log'!$H$7:$H$306,$C60,'Tray log'!$S$7:$S$306,IF($D60="Y","?*",""))+COUNTIFS('Tray log'!$K$7:$K$306,$A60,'Tray log'!$L$7:$L$306,$B60,'Tray log'!$M$7:$M$306,$C60,'Tray log'!$S$7:$S$306,IF($D60="Y","?*","")))</f>
        <v/>
      </c>
      <c r="G60" s="18" t="str">
        <f aca="false">IF(A60="","",SUMIFS('Tray log'!$J$7:$J$306,'Tray log'!$F$7:$F$306,$A60,'Tray log'!$G$7:$G$306,$B60,'Tray log'!$H$7:$H$306,$C60,'Tray log'!$S$7:$S$306,IF($D60="Y","?*",""))+SUMIFS('Tray log'!$N$7:$N$306,'Tray log'!$K$7:$K$306,$A60,'Tray log'!$L$7:$L$306,$B60,'Tray log'!$M$7:$M$306,$C60,'Tray log'!$S$7:$S$306,IF($D60="Y","?*","")))</f>
        <v/>
      </c>
      <c r="H60" s="24" t="str">
        <f aca="false">IF(A60="","",G60*IFERROR(INDEX(Parts!$F$6:$F$45,MATCH(A60,Parts!$A$6:$A$45,0)),0))</f>
        <v/>
      </c>
      <c r="I60" s="18" t="str">
        <f aca="false">IF(A60="","",SUMIFS('Tray log'!$J$7:$J$306,'Tray log'!$F$7:$F$306,$A60,'Tray log'!$G$7:$G$306,$B60,'Tray log'!$H$7:$H$306,$C60,'Tray log'!$S$7:$S$306,IF($D60="Y","?*",""),'Tray log'!$Y$7:$Y$306,Report!$B$7)+SUMIFS('Tray log'!$N$7:$N$306,'Tray log'!$K$7:$K$306,$A60,'Tray log'!$L$7:$L$306,$B60,'Tray log'!$M$7:$M$306,$C60,'Tray log'!$S$7:$S$306,IF($D60="Y","?*",""),'Tray log'!$Y$7:$Y$306,Report!$B$7))</f>
        <v/>
      </c>
      <c r="J60" s="22" t="str">
        <f aca="false">IF(OR(A60="",COUNTIFS('Tray log'!$F$7:$F$306,$A60,'Tray log'!$G$7:$G$306,$B60,'Tray log'!$H$7:$H$306,$C60,'Tray log'!$S$7:$S$306,IF($D60="Y","?*",""))=0),"",_xlfn.MINIFS('Tray log'!$E$7:$E$306,'Tray log'!$F$7:$F$306,$A60,'Tray log'!$G$7:$G$306,$B60,'Tray log'!$H$7:$H$306,$C60,'Tray log'!$S$7:$S$306,IF($D60="Y","?*","")))</f>
        <v/>
      </c>
      <c r="K60" s="22" t="str">
        <f aca="false">IF(OR(A60="",COUNTIFS('Tray log'!$F$7:$F$306,$A60,'Tray log'!$G$7:$G$306,$B60,'Tray log'!$H$7:$H$306,$C60,'Tray log'!$S$7:$S$306,IF($D60="Y","?*",""))=0),"",_xlfn.MAXIFS('Tray log'!$W$7:$W$306,'Tray log'!$F$7:$F$306,$A60,'Tray log'!$G$7:$G$306,$B60,'Tray log'!$H$7:$H$306,$C60,'Tray log'!$S$7:$S$306,IF($D60="Y","?*","")))</f>
        <v/>
      </c>
      <c r="L60" s="20"/>
      <c r="M60" s="18" t="str">
        <f aca="false">IF(OR(L60="",K60=""),"",ROUND((L60-K60)*1440,0))</f>
        <v/>
      </c>
      <c r="N60" s="27"/>
      <c r="O60" s="28" t="str">
        <f aca="false">IF(OR(N60="",N(H60)=0),"",N60/H60-1)</f>
        <v/>
      </c>
      <c r="P60" s="18" t="str">
        <f aca="false">IF(A60="","",IF(F60=0,"no tray in the log; ","")&amp;IF(E60="","part not on the Parts sheet; ","")&amp;IF(OR(B60="",C60=""),"batch / heat missing (type N/A if not available); ","")&amp;IF(M60="","",IF(ABS(M60)&gt;Settings!$B$11,"exit differs from the calculated time; ",""))&amp;IF(AND(L60&lt;&gt;"",L60&lt;J60),"actual exit before the entry; ",""))</f>
        <v/>
      </c>
      <c r="Q60" s="19"/>
    </row>
    <row r="61" customFormat="false" ht="15" hidden="false" customHeight="false" outlineLevel="0" collapsed="false">
      <c r="A61" s="19"/>
      <c r="B61" s="19"/>
      <c r="C61" s="19"/>
      <c r="D61" s="19"/>
      <c r="E61" s="18" t="str">
        <f aca="false">IF(A61="","",IFERROR(INDEX(Parts!$C$6:$C$45,MATCH(A61,Parts!$A$6:$A$45,0)),""))</f>
        <v/>
      </c>
      <c r="F61" s="18" t="str">
        <f aca="false">IF(A61="","",COUNTIFS('Tray log'!$F$7:$F$306,$A61,'Tray log'!$G$7:$G$306,$B61,'Tray log'!$H$7:$H$306,$C61,'Tray log'!$S$7:$S$306,IF($D61="Y","?*",""))+COUNTIFS('Tray log'!$K$7:$K$306,$A61,'Tray log'!$L$7:$L$306,$B61,'Tray log'!$M$7:$M$306,$C61,'Tray log'!$S$7:$S$306,IF($D61="Y","?*","")))</f>
        <v/>
      </c>
      <c r="G61" s="18" t="str">
        <f aca="false">IF(A61="","",SUMIFS('Tray log'!$J$7:$J$306,'Tray log'!$F$7:$F$306,$A61,'Tray log'!$G$7:$G$306,$B61,'Tray log'!$H$7:$H$306,$C61,'Tray log'!$S$7:$S$306,IF($D61="Y","?*",""))+SUMIFS('Tray log'!$N$7:$N$306,'Tray log'!$K$7:$K$306,$A61,'Tray log'!$L$7:$L$306,$B61,'Tray log'!$M$7:$M$306,$C61,'Tray log'!$S$7:$S$306,IF($D61="Y","?*","")))</f>
        <v/>
      </c>
      <c r="H61" s="24" t="str">
        <f aca="false">IF(A61="","",G61*IFERROR(INDEX(Parts!$F$6:$F$45,MATCH(A61,Parts!$A$6:$A$45,0)),0))</f>
        <v/>
      </c>
      <c r="I61" s="18" t="str">
        <f aca="false">IF(A61="","",SUMIFS('Tray log'!$J$7:$J$306,'Tray log'!$F$7:$F$306,$A61,'Tray log'!$G$7:$G$306,$B61,'Tray log'!$H$7:$H$306,$C61,'Tray log'!$S$7:$S$306,IF($D61="Y","?*",""),'Tray log'!$Y$7:$Y$306,Report!$B$7)+SUMIFS('Tray log'!$N$7:$N$306,'Tray log'!$K$7:$K$306,$A61,'Tray log'!$L$7:$L$306,$B61,'Tray log'!$M$7:$M$306,$C61,'Tray log'!$S$7:$S$306,IF($D61="Y","?*",""),'Tray log'!$Y$7:$Y$306,Report!$B$7))</f>
        <v/>
      </c>
      <c r="J61" s="22" t="str">
        <f aca="false">IF(OR(A61="",COUNTIFS('Tray log'!$F$7:$F$306,$A61,'Tray log'!$G$7:$G$306,$B61,'Tray log'!$H$7:$H$306,$C61,'Tray log'!$S$7:$S$306,IF($D61="Y","?*",""))=0),"",_xlfn.MINIFS('Tray log'!$E$7:$E$306,'Tray log'!$F$7:$F$306,$A61,'Tray log'!$G$7:$G$306,$B61,'Tray log'!$H$7:$H$306,$C61,'Tray log'!$S$7:$S$306,IF($D61="Y","?*","")))</f>
        <v/>
      </c>
      <c r="K61" s="22" t="str">
        <f aca="false">IF(OR(A61="",COUNTIFS('Tray log'!$F$7:$F$306,$A61,'Tray log'!$G$7:$G$306,$B61,'Tray log'!$H$7:$H$306,$C61,'Tray log'!$S$7:$S$306,IF($D61="Y","?*",""))=0),"",_xlfn.MAXIFS('Tray log'!$W$7:$W$306,'Tray log'!$F$7:$F$306,$A61,'Tray log'!$G$7:$G$306,$B61,'Tray log'!$H$7:$H$306,$C61,'Tray log'!$S$7:$S$306,IF($D61="Y","?*","")))</f>
        <v/>
      </c>
      <c r="L61" s="20"/>
      <c r="M61" s="18" t="str">
        <f aca="false">IF(OR(L61="",K61=""),"",ROUND((L61-K61)*1440,0))</f>
        <v/>
      </c>
      <c r="N61" s="27"/>
      <c r="O61" s="28" t="str">
        <f aca="false">IF(OR(N61="",N(H61)=0),"",N61/H61-1)</f>
        <v/>
      </c>
      <c r="P61" s="18" t="str">
        <f aca="false">IF(A61="","",IF(F61=0,"no tray in the log; ","")&amp;IF(E61="","part not on the Parts sheet; ","")&amp;IF(OR(B61="",C61=""),"batch / heat missing (type N/A if not available); ","")&amp;IF(M61="","",IF(ABS(M61)&gt;Settings!$B$11,"exit differs from the calculated time; ",""))&amp;IF(AND(L61&lt;&gt;"",L61&lt;J61),"actual exit before the entry; ",""))</f>
        <v/>
      </c>
      <c r="Q61" s="19"/>
    </row>
    <row r="62" customFormat="false" ht="15" hidden="false" customHeight="false" outlineLevel="0" collapsed="false">
      <c r="A62" s="19"/>
      <c r="B62" s="19"/>
      <c r="C62" s="19"/>
      <c r="D62" s="19"/>
      <c r="E62" s="18" t="str">
        <f aca="false">IF(A62="","",IFERROR(INDEX(Parts!$C$6:$C$45,MATCH(A62,Parts!$A$6:$A$45,0)),""))</f>
        <v/>
      </c>
      <c r="F62" s="18" t="str">
        <f aca="false">IF(A62="","",COUNTIFS('Tray log'!$F$7:$F$306,$A62,'Tray log'!$G$7:$G$306,$B62,'Tray log'!$H$7:$H$306,$C62,'Tray log'!$S$7:$S$306,IF($D62="Y","?*",""))+COUNTIFS('Tray log'!$K$7:$K$306,$A62,'Tray log'!$L$7:$L$306,$B62,'Tray log'!$M$7:$M$306,$C62,'Tray log'!$S$7:$S$306,IF($D62="Y","?*","")))</f>
        <v/>
      </c>
      <c r="G62" s="18" t="str">
        <f aca="false">IF(A62="","",SUMIFS('Tray log'!$J$7:$J$306,'Tray log'!$F$7:$F$306,$A62,'Tray log'!$G$7:$G$306,$B62,'Tray log'!$H$7:$H$306,$C62,'Tray log'!$S$7:$S$306,IF($D62="Y","?*",""))+SUMIFS('Tray log'!$N$7:$N$306,'Tray log'!$K$7:$K$306,$A62,'Tray log'!$L$7:$L$306,$B62,'Tray log'!$M$7:$M$306,$C62,'Tray log'!$S$7:$S$306,IF($D62="Y","?*","")))</f>
        <v/>
      </c>
      <c r="H62" s="24" t="str">
        <f aca="false">IF(A62="","",G62*IFERROR(INDEX(Parts!$F$6:$F$45,MATCH(A62,Parts!$A$6:$A$45,0)),0))</f>
        <v/>
      </c>
      <c r="I62" s="18" t="str">
        <f aca="false">IF(A62="","",SUMIFS('Tray log'!$J$7:$J$306,'Tray log'!$F$7:$F$306,$A62,'Tray log'!$G$7:$G$306,$B62,'Tray log'!$H$7:$H$306,$C62,'Tray log'!$S$7:$S$306,IF($D62="Y","?*",""),'Tray log'!$Y$7:$Y$306,Report!$B$7)+SUMIFS('Tray log'!$N$7:$N$306,'Tray log'!$K$7:$K$306,$A62,'Tray log'!$L$7:$L$306,$B62,'Tray log'!$M$7:$M$306,$C62,'Tray log'!$S$7:$S$306,IF($D62="Y","?*",""),'Tray log'!$Y$7:$Y$306,Report!$B$7))</f>
        <v/>
      </c>
      <c r="J62" s="22" t="str">
        <f aca="false">IF(OR(A62="",COUNTIFS('Tray log'!$F$7:$F$306,$A62,'Tray log'!$G$7:$G$306,$B62,'Tray log'!$H$7:$H$306,$C62,'Tray log'!$S$7:$S$306,IF($D62="Y","?*",""))=0),"",_xlfn.MINIFS('Tray log'!$E$7:$E$306,'Tray log'!$F$7:$F$306,$A62,'Tray log'!$G$7:$G$306,$B62,'Tray log'!$H$7:$H$306,$C62,'Tray log'!$S$7:$S$306,IF($D62="Y","?*","")))</f>
        <v/>
      </c>
      <c r="K62" s="22" t="str">
        <f aca="false">IF(OR(A62="",COUNTIFS('Tray log'!$F$7:$F$306,$A62,'Tray log'!$G$7:$G$306,$B62,'Tray log'!$H$7:$H$306,$C62,'Tray log'!$S$7:$S$306,IF($D62="Y","?*",""))=0),"",_xlfn.MAXIFS('Tray log'!$W$7:$W$306,'Tray log'!$F$7:$F$306,$A62,'Tray log'!$G$7:$G$306,$B62,'Tray log'!$H$7:$H$306,$C62,'Tray log'!$S$7:$S$306,IF($D62="Y","?*","")))</f>
        <v/>
      </c>
      <c r="L62" s="20"/>
      <c r="M62" s="18" t="str">
        <f aca="false">IF(OR(L62="",K62=""),"",ROUND((L62-K62)*1440,0))</f>
        <v/>
      </c>
      <c r="N62" s="27"/>
      <c r="O62" s="28" t="str">
        <f aca="false">IF(OR(N62="",N(H62)=0),"",N62/H62-1)</f>
        <v/>
      </c>
      <c r="P62" s="18" t="str">
        <f aca="false">IF(A62="","",IF(F62=0,"no tray in the log; ","")&amp;IF(E62="","part not on the Parts sheet; ","")&amp;IF(OR(B62="",C62=""),"batch / heat missing (type N/A if not available); ","")&amp;IF(M62="","",IF(ABS(M62)&gt;Settings!$B$11,"exit differs from the calculated time; ",""))&amp;IF(AND(L62&lt;&gt;"",L62&lt;J62),"actual exit before the entry; ",""))</f>
        <v/>
      </c>
      <c r="Q62" s="19"/>
    </row>
    <row r="63" customFormat="false" ht="15" hidden="false" customHeight="false" outlineLevel="0" collapsed="false">
      <c r="A63" s="19"/>
      <c r="B63" s="19"/>
      <c r="C63" s="19"/>
      <c r="D63" s="19"/>
      <c r="E63" s="18" t="str">
        <f aca="false">IF(A63="","",IFERROR(INDEX(Parts!$C$6:$C$45,MATCH(A63,Parts!$A$6:$A$45,0)),""))</f>
        <v/>
      </c>
      <c r="F63" s="18" t="str">
        <f aca="false">IF(A63="","",COUNTIFS('Tray log'!$F$7:$F$306,$A63,'Tray log'!$G$7:$G$306,$B63,'Tray log'!$H$7:$H$306,$C63,'Tray log'!$S$7:$S$306,IF($D63="Y","?*",""))+COUNTIFS('Tray log'!$K$7:$K$306,$A63,'Tray log'!$L$7:$L$306,$B63,'Tray log'!$M$7:$M$306,$C63,'Tray log'!$S$7:$S$306,IF($D63="Y","?*","")))</f>
        <v/>
      </c>
      <c r="G63" s="18" t="str">
        <f aca="false">IF(A63="","",SUMIFS('Tray log'!$J$7:$J$306,'Tray log'!$F$7:$F$306,$A63,'Tray log'!$G$7:$G$306,$B63,'Tray log'!$H$7:$H$306,$C63,'Tray log'!$S$7:$S$306,IF($D63="Y","?*",""))+SUMIFS('Tray log'!$N$7:$N$306,'Tray log'!$K$7:$K$306,$A63,'Tray log'!$L$7:$L$306,$B63,'Tray log'!$M$7:$M$306,$C63,'Tray log'!$S$7:$S$306,IF($D63="Y","?*","")))</f>
        <v/>
      </c>
      <c r="H63" s="24" t="str">
        <f aca="false">IF(A63="","",G63*IFERROR(INDEX(Parts!$F$6:$F$45,MATCH(A63,Parts!$A$6:$A$45,0)),0))</f>
        <v/>
      </c>
      <c r="I63" s="18" t="str">
        <f aca="false">IF(A63="","",SUMIFS('Tray log'!$J$7:$J$306,'Tray log'!$F$7:$F$306,$A63,'Tray log'!$G$7:$G$306,$B63,'Tray log'!$H$7:$H$306,$C63,'Tray log'!$S$7:$S$306,IF($D63="Y","?*",""),'Tray log'!$Y$7:$Y$306,Report!$B$7)+SUMIFS('Tray log'!$N$7:$N$306,'Tray log'!$K$7:$K$306,$A63,'Tray log'!$L$7:$L$306,$B63,'Tray log'!$M$7:$M$306,$C63,'Tray log'!$S$7:$S$306,IF($D63="Y","?*",""),'Tray log'!$Y$7:$Y$306,Report!$B$7))</f>
        <v/>
      </c>
      <c r="J63" s="22" t="str">
        <f aca="false">IF(OR(A63="",COUNTIFS('Tray log'!$F$7:$F$306,$A63,'Tray log'!$G$7:$G$306,$B63,'Tray log'!$H$7:$H$306,$C63,'Tray log'!$S$7:$S$306,IF($D63="Y","?*",""))=0),"",_xlfn.MINIFS('Tray log'!$E$7:$E$306,'Tray log'!$F$7:$F$306,$A63,'Tray log'!$G$7:$G$306,$B63,'Tray log'!$H$7:$H$306,$C63,'Tray log'!$S$7:$S$306,IF($D63="Y","?*","")))</f>
        <v/>
      </c>
      <c r="K63" s="22" t="str">
        <f aca="false">IF(OR(A63="",COUNTIFS('Tray log'!$F$7:$F$306,$A63,'Tray log'!$G$7:$G$306,$B63,'Tray log'!$H$7:$H$306,$C63,'Tray log'!$S$7:$S$306,IF($D63="Y","?*",""))=0),"",_xlfn.MAXIFS('Tray log'!$W$7:$W$306,'Tray log'!$F$7:$F$306,$A63,'Tray log'!$G$7:$G$306,$B63,'Tray log'!$H$7:$H$306,$C63,'Tray log'!$S$7:$S$306,IF($D63="Y","?*","")))</f>
        <v/>
      </c>
      <c r="L63" s="20"/>
      <c r="M63" s="18" t="str">
        <f aca="false">IF(OR(L63="",K63=""),"",ROUND((L63-K63)*1440,0))</f>
        <v/>
      </c>
      <c r="N63" s="27"/>
      <c r="O63" s="28" t="str">
        <f aca="false">IF(OR(N63="",N(H63)=0),"",N63/H63-1)</f>
        <v/>
      </c>
      <c r="P63" s="18" t="str">
        <f aca="false">IF(A63="","",IF(F63=0,"no tray in the log; ","")&amp;IF(E63="","part not on the Parts sheet; ","")&amp;IF(OR(B63="",C63=""),"batch / heat missing (type N/A if not available); ","")&amp;IF(M63="","",IF(ABS(M63)&gt;Settings!$B$11,"exit differs from the calculated time; ",""))&amp;IF(AND(L63&lt;&gt;"",L63&lt;J63),"actual exit before the entry; ",""))</f>
        <v/>
      </c>
      <c r="Q63" s="19"/>
    </row>
    <row r="64" customFormat="false" ht="15" hidden="false" customHeight="false" outlineLevel="0" collapsed="false">
      <c r="A64" s="19"/>
      <c r="B64" s="19"/>
      <c r="C64" s="19"/>
      <c r="D64" s="19"/>
      <c r="E64" s="18" t="str">
        <f aca="false">IF(A64="","",IFERROR(INDEX(Parts!$C$6:$C$45,MATCH(A64,Parts!$A$6:$A$45,0)),""))</f>
        <v/>
      </c>
      <c r="F64" s="18" t="str">
        <f aca="false">IF(A64="","",COUNTIFS('Tray log'!$F$7:$F$306,$A64,'Tray log'!$G$7:$G$306,$B64,'Tray log'!$H$7:$H$306,$C64,'Tray log'!$S$7:$S$306,IF($D64="Y","?*",""))+COUNTIFS('Tray log'!$K$7:$K$306,$A64,'Tray log'!$L$7:$L$306,$B64,'Tray log'!$M$7:$M$306,$C64,'Tray log'!$S$7:$S$306,IF($D64="Y","?*","")))</f>
        <v/>
      </c>
      <c r="G64" s="18" t="str">
        <f aca="false">IF(A64="","",SUMIFS('Tray log'!$J$7:$J$306,'Tray log'!$F$7:$F$306,$A64,'Tray log'!$G$7:$G$306,$B64,'Tray log'!$H$7:$H$306,$C64,'Tray log'!$S$7:$S$306,IF($D64="Y","?*",""))+SUMIFS('Tray log'!$N$7:$N$306,'Tray log'!$K$7:$K$306,$A64,'Tray log'!$L$7:$L$306,$B64,'Tray log'!$M$7:$M$306,$C64,'Tray log'!$S$7:$S$306,IF($D64="Y","?*","")))</f>
        <v/>
      </c>
      <c r="H64" s="24" t="str">
        <f aca="false">IF(A64="","",G64*IFERROR(INDEX(Parts!$F$6:$F$45,MATCH(A64,Parts!$A$6:$A$45,0)),0))</f>
        <v/>
      </c>
      <c r="I64" s="18" t="str">
        <f aca="false">IF(A64="","",SUMIFS('Tray log'!$J$7:$J$306,'Tray log'!$F$7:$F$306,$A64,'Tray log'!$G$7:$G$306,$B64,'Tray log'!$H$7:$H$306,$C64,'Tray log'!$S$7:$S$306,IF($D64="Y","?*",""),'Tray log'!$Y$7:$Y$306,Report!$B$7)+SUMIFS('Tray log'!$N$7:$N$306,'Tray log'!$K$7:$K$306,$A64,'Tray log'!$L$7:$L$306,$B64,'Tray log'!$M$7:$M$306,$C64,'Tray log'!$S$7:$S$306,IF($D64="Y","?*",""),'Tray log'!$Y$7:$Y$306,Report!$B$7))</f>
        <v/>
      </c>
      <c r="J64" s="22" t="str">
        <f aca="false">IF(OR(A64="",COUNTIFS('Tray log'!$F$7:$F$306,$A64,'Tray log'!$G$7:$G$306,$B64,'Tray log'!$H$7:$H$306,$C64,'Tray log'!$S$7:$S$306,IF($D64="Y","?*",""))=0),"",_xlfn.MINIFS('Tray log'!$E$7:$E$306,'Tray log'!$F$7:$F$306,$A64,'Tray log'!$G$7:$G$306,$B64,'Tray log'!$H$7:$H$306,$C64,'Tray log'!$S$7:$S$306,IF($D64="Y","?*","")))</f>
        <v/>
      </c>
      <c r="K64" s="22" t="str">
        <f aca="false">IF(OR(A64="",COUNTIFS('Tray log'!$F$7:$F$306,$A64,'Tray log'!$G$7:$G$306,$B64,'Tray log'!$H$7:$H$306,$C64,'Tray log'!$S$7:$S$306,IF($D64="Y","?*",""))=0),"",_xlfn.MAXIFS('Tray log'!$W$7:$W$306,'Tray log'!$F$7:$F$306,$A64,'Tray log'!$G$7:$G$306,$B64,'Tray log'!$H$7:$H$306,$C64,'Tray log'!$S$7:$S$306,IF($D64="Y","?*","")))</f>
        <v/>
      </c>
      <c r="L64" s="20"/>
      <c r="M64" s="18" t="str">
        <f aca="false">IF(OR(L64="",K64=""),"",ROUND((L64-K64)*1440,0))</f>
        <v/>
      </c>
      <c r="N64" s="27"/>
      <c r="O64" s="28" t="str">
        <f aca="false">IF(OR(N64="",N(H64)=0),"",N64/H64-1)</f>
        <v/>
      </c>
      <c r="P64" s="18" t="str">
        <f aca="false">IF(A64="","",IF(F64=0,"no tray in the log; ","")&amp;IF(E64="","part not on the Parts sheet; ","")&amp;IF(OR(B64="",C64=""),"batch / heat missing (type N/A if not available); ","")&amp;IF(M64="","",IF(ABS(M64)&gt;Settings!$B$11,"exit differs from the calculated time; ",""))&amp;IF(AND(L64&lt;&gt;"",L64&lt;J64),"actual exit before the entry; ",""))</f>
        <v/>
      </c>
      <c r="Q64" s="19"/>
    </row>
    <row r="65" customFormat="false" ht="15" hidden="false" customHeight="false" outlineLevel="0" collapsed="false">
      <c r="A65" s="19"/>
      <c r="B65" s="19"/>
      <c r="C65" s="19"/>
      <c r="D65" s="19"/>
      <c r="E65" s="18" t="str">
        <f aca="false">IF(A65="","",IFERROR(INDEX(Parts!$C$6:$C$45,MATCH(A65,Parts!$A$6:$A$45,0)),""))</f>
        <v/>
      </c>
      <c r="F65" s="18" t="str">
        <f aca="false">IF(A65="","",COUNTIFS('Tray log'!$F$7:$F$306,$A65,'Tray log'!$G$7:$G$306,$B65,'Tray log'!$H$7:$H$306,$C65,'Tray log'!$S$7:$S$306,IF($D65="Y","?*",""))+COUNTIFS('Tray log'!$K$7:$K$306,$A65,'Tray log'!$L$7:$L$306,$B65,'Tray log'!$M$7:$M$306,$C65,'Tray log'!$S$7:$S$306,IF($D65="Y","?*","")))</f>
        <v/>
      </c>
      <c r="G65" s="18" t="str">
        <f aca="false">IF(A65="","",SUMIFS('Tray log'!$J$7:$J$306,'Tray log'!$F$7:$F$306,$A65,'Tray log'!$G$7:$G$306,$B65,'Tray log'!$H$7:$H$306,$C65,'Tray log'!$S$7:$S$306,IF($D65="Y","?*",""))+SUMIFS('Tray log'!$N$7:$N$306,'Tray log'!$K$7:$K$306,$A65,'Tray log'!$L$7:$L$306,$B65,'Tray log'!$M$7:$M$306,$C65,'Tray log'!$S$7:$S$306,IF($D65="Y","?*","")))</f>
        <v/>
      </c>
      <c r="H65" s="24" t="str">
        <f aca="false">IF(A65="","",G65*IFERROR(INDEX(Parts!$F$6:$F$45,MATCH(A65,Parts!$A$6:$A$45,0)),0))</f>
        <v/>
      </c>
      <c r="I65" s="18" t="str">
        <f aca="false">IF(A65="","",SUMIFS('Tray log'!$J$7:$J$306,'Tray log'!$F$7:$F$306,$A65,'Tray log'!$G$7:$G$306,$B65,'Tray log'!$H$7:$H$306,$C65,'Tray log'!$S$7:$S$306,IF($D65="Y","?*",""),'Tray log'!$Y$7:$Y$306,Report!$B$7)+SUMIFS('Tray log'!$N$7:$N$306,'Tray log'!$K$7:$K$306,$A65,'Tray log'!$L$7:$L$306,$B65,'Tray log'!$M$7:$M$306,$C65,'Tray log'!$S$7:$S$306,IF($D65="Y","?*",""),'Tray log'!$Y$7:$Y$306,Report!$B$7))</f>
        <v/>
      </c>
      <c r="J65" s="22" t="str">
        <f aca="false">IF(OR(A65="",COUNTIFS('Tray log'!$F$7:$F$306,$A65,'Tray log'!$G$7:$G$306,$B65,'Tray log'!$H$7:$H$306,$C65,'Tray log'!$S$7:$S$306,IF($D65="Y","?*",""))=0),"",_xlfn.MINIFS('Tray log'!$E$7:$E$306,'Tray log'!$F$7:$F$306,$A65,'Tray log'!$G$7:$G$306,$B65,'Tray log'!$H$7:$H$306,$C65,'Tray log'!$S$7:$S$306,IF($D65="Y","?*","")))</f>
        <v/>
      </c>
      <c r="K65" s="22" t="str">
        <f aca="false">IF(OR(A65="",COUNTIFS('Tray log'!$F$7:$F$306,$A65,'Tray log'!$G$7:$G$306,$B65,'Tray log'!$H$7:$H$306,$C65,'Tray log'!$S$7:$S$306,IF($D65="Y","?*",""))=0),"",_xlfn.MAXIFS('Tray log'!$W$7:$W$306,'Tray log'!$F$7:$F$306,$A65,'Tray log'!$G$7:$G$306,$B65,'Tray log'!$H$7:$H$306,$C65,'Tray log'!$S$7:$S$306,IF($D65="Y","?*","")))</f>
        <v/>
      </c>
      <c r="L65" s="20"/>
      <c r="M65" s="18" t="str">
        <f aca="false">IF(OR(L65="",K65=""),"",ROUND((L65-K65)*1440,0))</f>
        <v/>
      </c>
      <c r="N65" s="27"/>
      <c r="O65" s="28" t="str">
        <f aca="false">IF(OR(N65="",N(H65)=0),"",N65/H65-1)</f>
        <v/>
      </c>
      <c r="P65" s="18" t="str">
        <f aca="false">IF(A65="","",IF(F65=0,"no tray in the log; ","")&amp;IF(E65="","part not on the Parts sheet; ","")&amp;IF(OR(B65="",C65=""),"batch / heat missing (type N/A if not available); ","")&amp;IF(M65="","",IF(ABS(M65)&gt;Settings!$B$11,"exit differs from the calculated time; ",""))&amp;IF(AND(L65&lt;&gt;"",L65&lt;J65),"actual exit before the entry; ",""))</f>
        <v/>
      </c>
      <c r="Q65" s="19"/>
    </row>
    <row r="66" customFormat="false" ht="15" hidden="false" customHeight="false" outlineLevel="0" collapsed="false">
      <c r="A66" s="19"/>
      <c r="B66" s="19"/>
      <c r="C66" s="19"/>
      <c r="D66" s="19"/>
      <c r="E66" s="18" t="str">
        <f aca="false">IF(A66="","",IFERROR(INDEX(Parts!$C$6:$C$45,MATCH(A66,Parts!$A$6:$A$45,0)),""))</f>
        <v/>
      </c>
      <c r="F66" s="18" t="str">
        <f aca="false">IF(A66="","",COUNTIFS('Tray log'!$F$7:$F$306,$A66,'Tray log'!$G$7:$G$306,$B66,'Tray log'!$H$7:$H$306,$C66,'Tray log'!$S$7:$S$306,IF($D66="Y","?*",""))+COUNTIFS('Tray log'!$K$7:$K$306,$A66,'Tray log'!$L$7:$L$306,$B66,'Tray log'!$M$7:$M$306,$C66,'Tray log'!$S$7:$S$306,IF($D66="Y","?*","")))</f>
        <v/>
      </c>
      <c r="G66" s="18" t="str">
        <f aca="false">IF(A66="","",SUMIFS('Tray log'!$J$7:$J$306,'Tray log'!$F$7:$F$306,$A66,'Tray log'!$G$7:$G$306,$B66,'Tray log'!$H$7:$H$306,$C66,'Tray log'!$S$7:$S$306,IF($D66="Y","?*",""))+SUMIFS('Tray log'!$N$7:$N$306,'Tray log'!$K$7:$K$306,$A66,'Tray log'!$L$7:$L$306,$B66,'Tray log'!$M$7:$M$306,$C66,'Tray log'!$S$7:$S$306,IF($D66="Y","?*","")))</f>
        <v/>
      </c>
      <c r="H66" s="24" t="str">
        <f aca="false">IF(A66="","",G66*IFERROR(INDEX(Parts!$F$6:$F$45,MATCH(A66,Parts!$A$6:$A$45,0)),0))</f>
        <v/>
      </c>
      <c r="I66" s="18" t="str">
        <f aca="false">IF(A66="","",SUMIFS('Tray log'!$J$7:$J$306,'Tray log'!$F$7:$F$306,$A66,'Tray log'!$G$7:$G$306,$B66,'Tray log'!$H$7:$H$306,$C66,'Tray log'!$S$7:$S$306,IF($D66="Y","?*",""),'Tray log'!$Y$7:$Y$306,Report!$B$7)+SUMIFS('Tray log'!$N$7:$N$306,'Tray log'!$K$7:$K$306,$A66,'Tray log'!$L$7:$L$306,$B66,'Tray log'!$M$7:$M$306,$C66,'Tray log'!$S$7:$S$306,IF($D66="Y","?*",""),'Tray log'!$Y$7:$Y$306,Report!$B$7))</f>
        <v/>
      </c>
      <c r="J66" s="22" t="str">
        <f aca="false">IF(OR(A66="",COUNTIFS('Tray log'!$F$7:$F$306,$A66,'Tray log'!$G$7:$G$306,$B66,'Tray log'!$H$7:$H$306,$C66,'Tray log'!$S$7:$S$306,IF($D66="Y","?*",""))=0),"",_xlfn.MINIFS('Tray log'!$E$7:$E$306,'Tray log'!$F$7:$F$306,$A66,'Tray log'!$G$7:$G$306,$B66,'Tray log'!$H$7:$H$306,$C66,'Tray log'!$S$7:$S$306,IF($D66="Y","?*","")))</f>
        <v/>
      </c>
      <c r="K66" s="22" t="str">
        <f aca="false">IF(OR(A66="",COUNTIFS('Tray log'!$F$7:$F$306,$A66,'Tray log'!$G$7:$G$306,$B66,'Tray log'!$H$7:$H$306,$C66,'Tray log'!$S$7:$S$306,IF($D66="Y","?*",""))=0),"",_xlfn.MAXIFS('Tray log'!$W$7:$W$306,'Tray log'!$F$7:$F$306,$A66,'Tray log'!$G$7:$G$306,$B66,'Tray log'!$H$7:$H$306,$C66,'Tray log'!$S$7:$S$306,IF($D66="Y","?*","")))</f>
        <v/>
      </c>
      <c r="L66" s="20"/>
      <c r="M66" s="18" t="str">
        <f aca="false">IF(OR(L66="",K66=""),"",ROUND((L66-K66)*1440,0))</f>
        <v/>
      </c>
      <c r="N66" s="27"/>
      <c r="O66" s="28" t="str">
        <f aca="false">IF(OR(N66="",N(H66)=0),"",N66/H66-1)</f>
        <v/>
      </c>
      <c r="P66" s="18" t="str">
        <f aca="false">IF(A66="","",IF(F66=0,"no tray in the log; ","")&amp;IF(E66="","part not on the Parts sheet; ","")&amp;IF(OR(B66="",C66=""),"batch / heat missing (type N/A if not available); ","")&amp;IF(M66="","",IF(ABS(M66)&gt;Settings!$B$11,"exit differs from the calculated time; ",""))&amp;IF(AND(L66&lt;&gt;"",L66&lt;J66),"actual exit before the entry; ",""))</f>
        <v/>
      </c>
      <c r="Q66" s="19"/>
    </row>
  </sheetData>
  <conditionalFormatting sqref="A7:Q66">
    <cfRule type="expression" priority="2" aboveAverage="0" equalAverage="0" bottom="0" percent="0" rank="0" text="" dxfId="7">
      <formula>$P7&lt;&gt;""</formula>
    </cfRule>
  </conditionalFormatting>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&amp;LMWSPL-F-PROD-01 rev 00&amp;RPage &amp;P of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0"/>
    <col collapsed="false" customWidth="true" hidden="false" outlineLevel="0" max="4" min="4" style="0" width="70"/>
    <col collapsed="false" customWidth="true" hidden="false" outlineLevel="0" max="6" min="5" style="0" width="30"/>
  </cols>
  <sheetData>
    <row r="1" customFormat="false" ht="15" hidden="false" customHeight="false" outlineLevel="0" collapsed="false">
      <c r="A1" s="1" t="s">
        <v>0</v>
      </c>
    </row>
    <row r="2" customFormat="false" ht="17.35" hidden="false" customHeight="false" outlineLevel="0" collapsed="false">
      <c r="A2" s="2" t="s">
        <v>159</v>
      </c>
    </row>
    <row r="3" customFormat="false" ht="15" hidden="false" customHeight="false" outlineLevel="0" collapsed="false">
      <c r="A3" s="3" t="s">
        <v>160</v>
      </c>
    </row>
    <row r="5" customFormat="false" ht="30" hidden="false" customHeight="true" outlineLevel="0" collapsed="false">
      <c r="A5" s="17" t="s">
        <v>161</v>
      </c>
      <c r="B5" s="17" t="s">
        <v>162</v>
      </c>
      <c r="C5" s="17" t="s">
        <v>163</v>
      </c>
      <c r="D5" s="17" t="s">
        <v>164</v>
      </c>
    </row>
    <row r="6" customFormat="false" ht="22.35" hidden="false" customHeight="false" outlineLevel="0" collapsed="false">
      <c r="A6" s="7" t="s">
        <v>165</v>
      </c>
      <c r="B6" s="29" t="n">
        <v>0.333333333333333</v>
      </c>
      <c r="C6" s="7" t="s">
        <v>166</v>
      </c>
      <c r="D6" s="30" t="s">
        <v>167</v>
      </c>
    </row>
    <row r="7" customFormat="false" ht="15" hidden="false" customHeight="false" outlineLevel="0" collapsed="false">
      <c r="A7" s="7" t="s">
        <v>168</v>
      </c>
      <c r="B7" s="13" t="n">
        <v>13</v>
      </c>
      <c r="C7" s="7" t="s">
        <v>169</v>
      </c>
      <c r="D7" s="30" t="s">
        <v>170</v>
      </c>
    </row>
    <row r="8" customFormat="false" ht="15" hidden="false" customHeight="false" outlineLevel="0" collapsed="false">
      <c r="A8" s="7" t="s">
        <v>171</v>
      </c>
      <c r="B8" s="13" t="n">
        <v>12</v>
      </c>
      <c r="C8" s="7" t="s">
        <v>169</v>
      </c>
      <c r="D8" s="30" t="s">
        <v>172</v>
      </c>
    </row>
    <row r="9" customFormat="false" ht="15" hidden="false" customHeight="false" outlineLevel="0" collapsed="false">
      <c r="A9" s="7" t="s">
        <v>173</v>
      </c>
      <c r="B9" s="13" t="n">
        <v>18</v>
      </c>
      <c r="C9" s="7" t="s">
        <v>174</v>
      </c>
      <c r="D9" s="30" t="s">
        <v>175</v>
      </c>
    </row>
    <row r="10" customFormat="false" ht="15" hidden="false" customHeight="false" outlineLevel="0" collapsed="false">
      <c r="A10" s="7" t="s">
        <v>176</v>
      </c>
      <c r="B10" s="13" t="n">
        <v>200</v>
      </c>
      <c r="C10" s="7" t="s">
        <v>177</v>
      </c>
      <c r="D10" s="30" t="s">
        <v>178</v>
      </c>
    </row>
    <row r="11" customFormat="false" ht="22.35" hidden="false" customHeight="false" outlineLevel="0" collapsed="false">
      <c r="A11" s="7" t="s">
        <v>179</v>
      </c>
      <c r="B11" s="13" t="n">
        <v>5</v>
      </c>
      <c r="C11" s="7" t="s">
        <v>174</v>
      </c>
      <c r="D11" s="30" t="s">
        <v>180</v>
      </c>
    </row>
    <row r="13" customFormat="false" ht="15" hidden="false" customHeight="false" outlineLevel="0" collapsed="false">
      <c r="A13" s="31" t="s">
        <v>181</v>
      </c>
    </row>
    <row r="14" customFormat="false" ht="15" hidden="false" customHeight="false" outlineLevel="0" collapsed="false">
      <c r="A14" s="17" t="s">
        <v>6</v>
      </c>
      <c r="B14" s="17" t="s">
        <v>69</v>
      </c>
      <c r="C14" s="17" t="s">
        <v>82</v>
      </c>
      <c r="D14" s="17" t="s">
        <v>182</v>
      </c>
      <c r="E14" s="17" t="s">
        <v>132</v>
      </c>
      <c r="F14" s="17" t="s">
        <v>133</v>
      </c>
    </row>
    <row r="15" customFormat="false" ht="15" hidden="false" customHeight="false" outlineLevel="0" collapsed="false">
      <c r="A15" s="32" t="s">
        <v>183</v>
      </c>
      <c r="B15" s="32" t="s">
        <v>95</v>
      </c>
      <c r="C15" s="32" t="s">
        <v>184</v>
      </c>
      <c r="D15" s="32" t="s">
        <v>125</v>
      </c>
      <c r="E15" s="32" t="s">
        <v>137</v>
      </c>
      <c r="F15" s="32" t="s">
        <v>185</v>
      </c>
    </row>
    <row r="16" customFormat="false" ht="15" hidden="false" customHeight="false" outlineLevel="0" collapsed="false">
      <c r="A16" s="32" t="s">
        <v>7</v>
      </c>
      <c r="B16" s="32" t="s">
        <v>106</v>
      </c>
      <c r="C16" s="32" t="s">
        <v>186</v>
      </c>
      <c r="D16" s="32" t="s">
        <v>187</v>
      </c>
      <c r="E16" s="32" t="s">
        <v>188</v>
      </c>
      <c r="F16" s="32" t="s">
        <v>189</v>
      </c>
    </row>
    <row r="17" customFormat="false" ht="15" hidden="false" customHeight="false" outlineLevel="0" collapsed="false">
      <c r="A17" s="32" t="s">
        <v>190</v>
      </c>
      <c r="B17" s="32" t="s">
        <v>102</v>
      </c>
      <c r="C17" s="32" t="s">
        <v>191</v>
      </c>
      <c r="D17" s="32" t="s">
        <v>192</v>
      </c>
      <c r="E17" s="32" t="s">
        <v>193</v>
      </c>
      <c r="F17" s="32" t="s">
        <v>194</v>
      </c>
    </row>
    <row r="18" customFormat="false" ht="15" hidden="false" customHeight="false" outlineLevel="0" collapsed="false">
      <c r="A18" s="32" t="s">
        <v>195</v>
      </c>
      <c r="D18" s="32" t="s">
        <v>196</v>
      </c>
      <c r="E18" s="32" t="s">
        <v>197</v>
      </c>
      <c r="F18" s="32" t="s">
        <v>138</v>
      </c>
    </row>
    <row r="19" customFormat="false" ht="15" hidden="false" customHeight="false" outlineLevel="0" collapsed="false">
      <c r="D19" s="32" t="s">
        <v>198</v>
      </c>
      <c r="E19" s="32" t="s">
        <v>199</v>
      </c>
    </row>
    <row r="20" customFormat="false" ht="15" hidden="false" customHeight="false" outlineLevel="0" collapsed="false">
      <c r="D20" s="32" t="s">
        <v>200</v>
      </c>
      <c r="E20" s="32" t="s">
        <v>201</v>
      </c>
    </row>
    <row r="21" customFormat="false" ht="15" hidden="false" customHeight="false" outlineLevel="0" collapsed="false">
      <c r="D21" s="32" t="s">
        <v>202</v>
      </c>
      <c r="E21" s="32" t="s">
        <v>203</v>
      </c>
    </row>
    <row r="22" customFormat="false" ht="15" hidden="false" customHeight="false" outlineLevel="0" collapsed="false">
      <c r="D22" s="32" t="s">
        <v>204</v>
      </c>
    </row>
    <row r="23" customFormat="false" ht="15" hidden="false" customHeight="false" outlineLevel="0" collapsed="false">
      <c r="D23" s="32" t="s">
        <v>203</v>
      </c>
    </row>
  </sheetData>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&amp;LMWSPL-F-PROD-01 rev 00&amp;RPage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1"/>
    <col collapsed="false" customWidth="true" hidden="false" outlineLevel="0" max="4" min="4" style="0" width="15"/>
    <col collapsed="false" customWidth="true" hidden="false" outlineLevel="0" max="6" min="5" style="0" width="10"/>
    <col collapsed="false" customWidth="true" hidden="false" outlineLevel="0" max="7" min="7" style="0" width="9"/>
    <col collapsed="false" customWidth="true" hidden="false" outlineLevel="0" max="8" min="8" style="0" width="13"/>
    <col collapsed="false" customWidth="true" hidden="false" outlineLevel="0" max="10" min="9" style="0" width="18"/>
    <col collapsed="false" customWidth="true" hidden="false" outlineLevel="0" max="11" min="11" style="0" width="36"/>
  </cols>
  <sheetData>
    <row r="1" customFormat="false" ht="15" hidden="false" customHeight="false" outlineLevel="0" collapsed="false">
      <c r="A1" s="1" t="s">
        <v>0</v>
      </c>
    </row>
    <row r="2" customFormat="false" ht="17.35" hidden="false" customHeight="false" outlineLevel="0" collapsed="false">
      <c r="A2" s="2" t="s">
        <v>205</v>
      </c>
    </row>
    <row r="3" customFormat="false" ht="15" hidden="false" customHeight="false" outlineLevel="0" collapsed="false">
      <c r="A3" s="3" t="s">
        <v>206</v>
      </c>
    </row>
    <row r="5" customFormat="false" ht="42" hidden="false" customHeight="true" outlineLevel="0" collapsed="false">
      <c r="A5" s="17" t="s">
        <v>143</v>
      </c>
      <c r="B5" s="17" t="s">
        <v>207</v>
      </c>
      <c r="C5" s="17" t="s">
        <v>208</v>
      </c>
      <c r="D5" s="17" t="s">
        <v>209</v>
      </c>
      <c r="E5" s="17" t="s">
        <v>210</v>
      </c>
      <c r="F5" s="17" t="s">
        <v>211</v>
      </c>
      <c r="G5" s="17" t="s">
        <v>212</v>
      </c>
      <c r="H5" s="17" t="s">
        <v>213</v>
      </c>
      <c r="I5" s="17" t="s">
        <v>214</v>
      </c>
      <c r="J5" s="17" t="s">
        <v>215</v>
      </c>
      <c r="K5" s="17" t="s">
        <v>93</v>
      </c>
    </row>
    <row r="6" customFormat="false" ht="15" hidden="false" customHeight="false" outlineLevel="0" collapsed="false">
      <c r="A6" s="6" t="s">
        <v>96</v>
      </c>
      <c r="B6" s="6" t="s">
        <v>216</v>
      </c>
      <c r="C6" s="6" t="s">
        <v>184</v>
      </c>
      <c r="D6" s="6" t="s">
        <v>217</v>
      </c>
      <c r="E6" s="6" t="n">
        <v>60</v>
      </c>
      <c r="F6" s="33" t="n">
        <v>1.8</v>
      </c>
      <c r="G6" s="6" t="n">
        <v>9</v>
      </c>
      <c r="H6" s="8" t="n">
        <f aca="false">IF(A6="","",IF(C6="IA","enter cycle",Settings!$B$9))</f>
        <v>18</v>
      </c>
      <c r="I6" s="6" t="s">
        <v>218</v>
      </c>
      <c r="J6" s="6" t="s">
        <v>219</v>
      </c>
      <c r="K6" s="6" t="s">
        <v>220</v>
      </c>
    </row>
    <row r="7" customFormat="false" ht="15" hidden="false" customHeight="false" outlineLevel="0" collapsed="false">
      <c r="A7" s="6" t="s">
        <v>109</v>
      </c>
      <c r="B7" s="6" t="s">
        <v>221</v>
      </c>
      <c r="C7" s="6" t="s">
        <v>186</v>
      </c>
      <c r="D7" s="6" t="s">
        <v>222</v>
      </c>
      <c r="E7" s="6" t="n">
        <v>24</v>
      </c>
      <c r="F7" s="33" t="n">
        <v>3.5</v>
      </c>
      <c r="G7" s="6" t="n">
        <v>9</v>
      </c>
      <c r="H7" s="6" t="n">
        <v>7</v>
      </c>
      <c r="I7" s="6" t="s">
        <v>223</v>
      </c>
      <c r="J7" s="6" t="s">
        <v>224</v>
      </c>
      <c r="K7" s="6" t="s">
        <v>225</v>
      </c>
    </row>
    <row r="8" customFormat="false" ht="15" hidden="false" customHeight="false" outlineLevel="0" collapsed="false">
      <c r="A8" s="6" t="s">
        <v>103</v>
      </c>
      <c r="B8" s="6" t="s">
        <v>226</v>
      </c>
      <c r="C8" s="6" t="s">
        <v>191</v>
      </c>
      <c r="D8" s="6" t="s">
        <v>227</v>
      </c>
      <c r="E8" s="6" t="n">
        <v>30</v>
      </c>
      <c r="F8" s="33" t="n">
        <v>2.2</v>
      </c>
      <c r="G8" s="6" t="n">
        <v>9</v>
      </c>
      <c r="H8" s="8" t="n">
        <f aca="false">IF(A8="","",IF(C8="IA","enter cycle",Settings!$B$9))</f>
        <v>18</v>
      </c>
      <c r="I8" s="6" t="s">
        <v>228</v>
      </c>
      <c r="J8" s="6" t="s">
        <v>229</v>
      </c>
      <c r="K8" s="6" t="s">
        <v>230</v>
      </c>
    </row>
    <row r="9" customFormat="false" ht="15" hidden="false" customHeight="false" outlineLevel="0" collapsed="false">
      <c r="A9" s="6"/>
      <c r="B9" s="6"/>
      <c r="C9" s="6"/>
      <c r="D9" s="6"/>
      <c r="E9" s="6"/>
      <c r="F9" s="33"/>
      <c r="G9" s="6"/>
      <c r="H9" s="14" t="str">
        <f aca="false">IF(A9="","",IF(C9="IA","enter cycle",Settings!$B$9))</f>
        <v/>
      </c>
      <c r="I9" s="6"/>
      <c r="J9" s="6"/>
      <c r="K9" s="6"/>
    </row>
    <row r="10" customFormat="false" ht="15" hidden="false" customHeight="false" outlineLevel="0" collapsed="false">
      <c r="A10" s="6"/>
      <c r="B10" s="6"/>
      <c r="C10" s="6"/>
      <c r="D10" s="6"/>
      <c r="E10" s="6"/>
      <c r="F10" s="33"/>
      <c r="G10" s="6"/>
      <c r="H10" s="14" t="str">
        <f aca="false">IF(A10="","",IF(C10="IA","enter cycle",Settings!$B$9))</f>
        <v/>
      </c>
      <c r="I10" s="6"/>
      <c r="J10" s="6"/>
      <c r="K10" s="6"/>
    </row>
    <row r="11" customFormat="false" ht="15" hidden="false" customHeight="false" outlineLevel="0" collapsed="false">
      <c r="A11" s="6"/>
      <c r="B11" s="6"/>
      <c r="C11" s="6"/>
      <c r="D11" s="6"/>
      <c r="E11" s="6"/>
      <c r="F11" s="33"/>
      <c r="G11" s="6"/>
      <c r="H11" s="14" t="str">
        <f aca="false">IF(A11="","",IF(C11="IA","enter cycle",Settings!$B$9))</f>
        <v/>
      </c>
      <c r="I11" s="6"/>
      <c r="J11" s="6"/>
      <c r="K11" s="6"/>
    </row>
    <row r="12" customFormat="false" ht="15" hidden="false" customHeight="false" outlineLevel="0" collapsed="false">
      <c r="A12" s="6"/>
      <c r="B12" s="6"/>
      <c r="C12" s="6"/>
      <c r="D12" s="6"/>
      <c r="E12" s="6"/>
      <c r="F12" s="33"/>
      <c r="G12" s="6"/>
      <c r="H12" s="14" t="str">
        <f aca="false">IF(A12="","",IF(C12="IA","enter cycle",Settings!$B$9))</f>
        <v/>
      </c>
      <c r="I12" s="6"/>
      <c r="J12" s="6"/>
      <c r="K12" s="6"/>
    </row>
    <row r="13" customFormat="false" ht="15" hidden="false" customHeight="false" outlineLevel="0" collapsed="false">
      <c r="A13" s="6"/>
      <c r="B13" s="6"/>
      <c r="C13" s="6"/>
      <c r="D13" s="6"/>
      <c r="E13" s="6"/>
      <c r="F13" s="33"/>
      <c r="G13" s="6"/>
      <c r="H13" s="14" t="str">
        <f aca="false">IF(A13="","",IF(C13="IA","enter cycle",Settings!$B$9))</f>
        <v/>
      </c>
      <c r="I13" s="6"/>
      <c r="J13" s="6"/>
      <c r="K13" s="6"/>
    </row>
    <row r="14" customFormat="false" ht="15" hidden="false" customHeight="false" outlineLevel="0" collapsed="false">
      <c r="A14" s="6"/>
      <c r="B14" s="6"/>
      <c r="C14" s="6"/>
      <c r="D14" s="6"/>
      <c r="E14" s="6"/>
      <c r="F14" s="33"/>
      <c r="G14" s="6"/>
      <c r="H14" s="14" t="str">
        <f aca="false">IF(A14="","",IF(C14="IA","enter cycle",Settings!$B$9))</f>
        <v/>
      </c>
      <c r="I14" s="6"/>
      <c r="J14" s="6"/>
      <c r="K14" s="6"/>
    </row>
    <row r="15" customFormat="false" ht="15" hidden="false" customHeight="false" outlineLevel="0" collapsed="false">
      <c r="A15" s="6"/>
      <c r="B15" s="6"/>
      <c r="C15" s="6"/>
      <c r="D15" s="6"/>
      <c r="E15" s="6"/>
      <c r="F15" s="33"/>
      <c r="G15" s="6"/>
      <c r="H15" s="14" t="str">
        <f aca="false">IF(A15="","",IF(C15="IA","enter cycle",Settings!$B$9))</f>
        <v/>
      </c>
      <c r="I15" s="6"/>
      <c r="J15" s="6"/>
      <c r="K15" s="6"/>
    </row>
    <row r="16" customFormat="false" ht="15" hidden="false" customHeight="false" outlineLevel="0" collapsed="false">
      <c r="A16" s="6"/>
      <c r="B16" s="6"/>
      <c r="C16" s="6"/>
      <c r="D16" s="6"/>
      <c r="E16" s="6"/>
      <c r="F16" s="33"/>
      <c r="G16" s="6"/>
      <c r="H16" s="14" t="str">
        <f aca="false">IF(A16="","",IF(C16="IA","enter cycle",Settings!$B$9))</f>
        <v/>
      </c>
      <c r="I16" s="6"/>
      <c r="J16" s="6"/>
      <c r="K16" s="6"/>
    </row>
    <row r="17" customFormat="false" ht="15" hidden="false" customHeight="false" outlineLevel="0" collapsed="false">
      <c r="A17" s="6"/>
      <c r="B17" s="6"/>
      <c r="C17" s="6"/>
      <c r="D17" s="6"/>
      <c r="E17" s="6"/>
      <c r="F17" s="33"/>
      <c r="G17" s="6"/>
      <c r="H17" s="14" t="str">
        <f aca="false">IF(A17="","",IF(C17="IA","enter cycle",Settings!$B$9))</f>
        <v/>
      </c>
      <c r="I17" s="6"/>
      <c r="J17" s="6"/>
      <c r="K17" s="6"/>
    </row>
    <row r="18" customFormat="false" ht="15" hidden="false" customHeight="false" outlineLevel="0" collapsed="false">
      <c r="A18" s="6"/>
      <c r="B18" s="6"/>
      <c r="C18" s="6"/>
      <c r="D18" s="6"/>
      <c r="E18" s="6"/>
      <c r="F18" s="33"/>
      <c r="G18" s="6"/>
      <c r="H18" s="14" t="str">
        <f aca="false">IF(A18="","",IF(C18="IA","enter cycle",Settings!$B$9))</f>
        <v/>
      </c>
      <c r="I18" s="6"/>
      <c r="J18" s="6"/>
      <c r="K18" s="6"/>
    </row>
    <row r="19" customFormat="false" ht="15" hidden="false" customHeight="false" outlineLevel="0" collapsed="false">
      <c r="A19" s="6"/>
      <c r="B19" s="6"/>
      <c r="C19" s="6"/>
      <c r="D19" s="6"/>
      <c r="E19" s="6"/>
      <c r="F19" s="33"/>
      <c r="G19" s="6"/>
      <c r="H19" s="14" t="str">
        <f aca="false">IF(A19="","",IF(C19="IA","enter cycle",Settings!$B$9))</f>
        <v/>
      </c>
      <c r="I19" s="6"/>
      <c r="J19" s="6"/>
      <c r="K19" s="6"/>
    </row>
    <row r="20" customFormat="false" ht="15" hidden="false" customHeight="false" outlineLevel="0" collapsed="false">
      <c r="A20" s="6"/>
      <c r="B20" s="6"/>
      <c r="C20" s="6"/>
      <c r="D20" s="6"/>
      <c r="E20" s="6"/>
      <c r="F20" s="33"/>
      <c r="G20" s="6"/>
      <c r="H20" s="14" t="str">
        <f aca="false">IF(A20="","",IF(C20="IA","enter cycle",Settings!$B$9))</f>
        <v/>
      </c>
      <c r="I20" s="6"/>
      <c r="J20" s="6"/>
      <c r="K20" s="6"/>
    </row>
    <row r="21" customFormat="false" ht="15" hidden="false" customHeight="false" outlineLevel="0" collapsed="false">
      <c r="A21" s="6"/>
      <c r="B21" s="6"/>
      <c r="C21" s="6"/>
      <c r="D21" s="6"/>
      <c r="E21" s="6"/>
      <c r="F21" s="33"/>
      <c r="G21" s="6"/>
      <c r="H21" s="14" t="str">
        <f aca="false">IF(A21="","",IF(C21="IA","enter cycle",Settings!$B$9))</f>
        <v/>
      </c>
      <c r="I21" s="6"/>
      <c r="J21" s="6"/>
      <c r="K21" s="6"/>
    </row>
    <row r="22" customFormat="false" ht="15" hidden="false" customHeight="false" outlineLevel="0" collapsed="false">
      <c r="A22" s="6"/>
      <c r="B22" s="6"/>
      <c r="C22" s="6"/>
      <c r="D22" s="6"/>
      <c r="E22" s="6"/>
      <c r="F22" s="33"/>
      <c r="G22" s="6"/>
      <c r="H22" s="14" t="str">
        <f aca="false">IF(A22="","",IF(C22="IA","enter cycle",Settings!$B$9))</f>
        <v/>
      </c>
      <c r="I22" s="6"/>
      <c r="J22" s="6"/>
      <c r="K22" s="6"/>
    </row>
    <row r="23" customFormat="false" ht="15" hidden="false" customHeight="false" outlineLevel="0" collapsed="false">
      <c r="A23" s="6"/>
      <c r="B23" s="6"/>
      <c r="C23" s="6"/>
      <c r="D23" s="6"/>
      <c r="E23" s="6"/>
      <c r="F23" s="33"/>
      <c r="G23" s="6"/>
      <c r="H23" s="14" t="str">
        <f aca="false">IF(A23="","",IF(C23="IA","enter cycle",Settings!$B$9))</f>
        <v/>
      </c>
      <c r="I23" s="6"/>
      <c r="J23" s="6"/>
      <c r="K23" s="6"/>
    </row>
    <row r="24" customFormat="false" ht="15" hidden="false" customHeight="false" outlineLevel="0" collapsed="false">
      <c r="A24" s="6"/>
      <c r="B24" s="6"/>
      <c r="C24" s="6"/>
      <c r="D24" s="6"/>
      <c r="E24" s="6"/>
      <c r="F24" s="33"/>
      <c r="G24" s="6"/>
      <c r="H24" s="14" t="str">
        <f aca="false">IF(A24="","",IF(C24="IA","enter cycle",Settings!$B$9))</f>
        <v/>
      </c>
      <c r="I24" s="6"/>
      <c r="J24" s="6"/>
      <c r="K24" s="6"/>
    </row>
    <row r="25" customFormat="false" ht="15" hidden="false" customHeight="false" outlineLevel="0" collapsed="false">
      <c r="A25" s="6"/>
      <c r="B25" s="6"/>
      <c r="C25" s="6"/>
      <c r="D25" s="6"/>
      <c r="E25" s="6"/>
      <c r="F25" s="33"/>
      <c r="G25" s="6"/>
      <c r="H25" s="14" t="str">
        <f aca="false">IF(A25="","",IF(C25="IA","enter cycle",Settings!$B$9))</f>
        <v/>
      </c>
      <c r="I25" s="6"/>
      <c r="J25" s="6"/>
      <c r="K25" s="6"/>
    </row>
    <row r="26" customFormat="false" ht="15" hidden="false" customHeight="false" outlineLevel="0" collapsed="false">
      <c r="A26" s="6"/>
      <c r="B26" s="6"/>
      <c r="C26" s="6"/>
      <c r="D26" s="6"/>
      <c r="E26" s="6"/>
      <c r="F26" s="33"/>
      <c r="G26" s="6"/>
      <c r="H26" s="14" t="str">
        <f aca="false">IF(A26="","",IF(C26="IA","enter cycle",Settings!$B$9))</f>
        <v/>
      </c>
      <c r="I26" s="6"/>
      <c r="J26" s="6"/>
      <c r="K26" s="6"/>
    </row>
    <row r="27" customFormat="false" ht="15" hidden="false" customHeight="false" outlineLevel="0" collapsed="false">
      <c r="A27" s="6"/>
      <c r="B27" s="6"/>
      <c r="C27" s="6"/>
      <c r="D27" s="6"/>
      <c r="E27" s="6"/>
      <c r="F27" s="33"/>
      <c r="G27" s="6"/>
      <c r="H27" s="14" t="str">
        <f aca="false">IF(A27="","",IF(C27="IA","enter cycle",Settings!$B$9))</f>
        <v/>
      </c>
      <c r="I27" s="6"/>
      <c r="J27" s="6"/>
      <c r="K27" s="6"/>
    </row>
    <row r="28" customFormat="false" ht="15" hidden="false" customHeight="false" outlineLevel="0" collapsed="false">
      <c r="A28" s="6"/>
      <c r="B28" s="6"/>
      <c r="C28" s="6"/>
      <c r="D28" s="6"/>
      <c r="E28" s="6"/>
      <c r="F28" s="33"/>
      <c r="G28" s="6"/>
      <c r="H28" s="14" t="str">
        <f aca="false">IF(A28="","",IF(C28="IA","enter cycle",Settings!$B$9))</f>
        <v/>
      </c>
      <c r="I28" s="6"/>
      <c r="J28" s="6"/>
      <c r="K28" s="6"/>
    </row>
    <row r="29" customFormat="false" ht="15" hidden="false" customHeight="false" outlineLevel="0" collapsed="false">
      <c r="A29" s="6"/>
      <c r="B29" s="6"/>
      <c r="C29" s="6"/>
      <c r="D29" s="6"/>
      <c r="E29" s="6"/>
      <c r="F29" s="33"/>
      <c r="G29" s="6"/>
      <c r="H29" s="14" t="str">
        <f aca="false">IF(A29="","",IF(C29="IA","enter cycle",Settings!$B$9))</f>
        <v/>
      </c>
      <c r="I29" s="6"/>
      <c r="J29" s="6"/>
      <c r="K29" s="6"/>
    </row>
    <row r="30" customFormat="false" ht="15" hidden="false" customHeight="false" outlineLevel="0" collapsed="false">
      <c r="A30" s="6"/>
      <c r="B30" s="6"/>
      <c r="C30" s="6"/>
      <c r="D30" s="6"/>
      <c r="E30" s="6"/>
      <c r="F30" s="33"/>
      <c r="G30" s="6"/>
      <c r="H30" s="14" t="str">
        <f aca="false">IF(A30="","",IF(C30="IA","enter cycle",Settings!$B$9))</f>
        <v/>
      </c>
      <c r="I30" s="6"/>
      <c r="J30" s="6"/>
      <c r="K30" s="6"/>
    </row>
    <row r="31" customFormat="false" ht="15" hidden="false" customHeight="false" outlineLevel="0" collapsed="false">
      <c r="A31" s="6"/>
      <c r="B31" s="6"/>
      <c r="C31" s="6"/>
      <c r="D31" s="6"/>
      <c r="E31" s="6"/>
      <c r="F31" s="33"/>
      <c r="G31" s="6"/>
      <c r="H31" s="14" t="str">
        <f aca="false">IF(A31="","",IF(C31="IA","enter cycle",Settings!$B$9))</f>
        <v/>
      </c>
      <c r="I31" s="6"/>
      <c r="J31" s="6"/>
      <c r="K31" s="6"/>
    </row>
    <row r="32" customFormat="false" ht="15" hidden="false" customHeight="false" outlineLevel="0" collapsed="false">
      <c r="A32" s="6"/>
      <c r="B32" s="6"/>
      <c r="C32" s="6"/>
      <c r="D32" s="6"/>
      <c r="E32" s="6"/>
      <c r="F32" s="33"/>
      <c r="G32" s="6"/>
      <c r="H32" s="14" t="str">
        <f aca="false">IF(A32="","",IF(C32="IA","enter cycle",Settings!$B$9))</f>
        <v/>
      </c>
      <c r="I32" s="6"/>
      <c r="J32" s="6"/>
      <c r="K32" s="6"/>
    </row>
    <row r="33" customFormat="false" ht="15" hidden="false" customHeight="false" outlineLevel="0" collapsed="false">
      <c r="A33" s="6"/>
      <c r="B33" s="6"/>
      <c r="C33" s="6"/>
      <c r="D33" s="6"/>
      <c r="E33" s="6"/>
      <c r="F33" s="33"/>
      <c r="G33" s="6"/>
      <c r="H33" s="14" t="str">
        <f aca="false">IF(A33="","",IF(C33="IA","enter cycle",Settings!$B$9))</f>
        <v/>
      </c>
      <c r="I33" s="6"/>
      <c r="J33" s="6"/>
      <c r="K33" s="6"/>
    </row>
    <row r="34" customFormat="false" ht="15" hidden="false" customHeight="false" outlineLevel="0" collapsed="false">
      <c r="A34" s="6"/>
      <c r="B34" s="6"/>
      <c r="C34" s="6"/>
      <c r="D34" s="6"/>
      <c r="E34" s="6"/>
      <c r="F34" s="33"/>
      <c r="G34" s="6"/>
      <c r="H34" s="14" t="str">
        <f aca="false">IF(A34="","",IF(C34="IA","enter cycle",Settings!$B$9))</f>
        <v/>
      </c>
      <c r="I34" s="6"/>
      <c r="J34" s="6"/>
      <c r="K34" s="6"/>
    </row>
    <row r="35" customFormat="false" ht="15" hidden="false" customHeight="false" outlineLevel="0" collapsed="false">
      <c r="A35" s="6"/>
      <c r="B35" s="6"/>
      <c r="C35" s="6"/>
      <c r="D35" s="6"/>
      <c r="E35" s="6"/>
      <c r="F35" s="33"/>
      <c r="G35" s="6"/>
      <c r="H35" s="14" t="str">
        <f aca="false">IF(A35="","",IF(C35="IA","enter cycle",Settings!$B$9))</f>
        <v/>
      </c>
      <c r="I35" s="6"/>
      <c r="J35" s="6"/>
      <c r="K35" s="6"/>
    </row>
    <row r="36" customFormat="false" ht="15" hidden="false" customHeight="false" outlineLevel="0" collapsed="false">
      <c r="A36" s="6"/>
      <c r="B36" s="6"/>
      <c r="C36" s="6"/>
      <c r="D36" s="6"/>
      <c r="E36" s="6"/>
      <c r="F36" s="33"/>
      <c r="G36" s="6"/>
      <c r="H36" s="14" t="str">
        <f aca="false">IF(A36="","",IF(C36="IA","enter cycle",Settings!$B$9))</f>
        <v/>
      </c>
      <c r="I36" s="6"/>
      <c r="J36" s="6"/>
      <c r="K36" s="6"/>
    </row>
    <row r="37" customFormat="false" ht="15" hidden="false" customHeight="false" outlineLevel="0" collapsed="false">
      <c r="A37" s="6"/>
      <c r="B37" s="6"/>
      <c r="C37" s="6"/>
      <c r="D37" s="6"/>
      <c r="E37" s="6"/>
      <c r="F37" s="33"/>
      <c r="G37" s="6"/>
      <c r="H37" s="14" t="str">
        <f aca="false">IF(A37="","",IF(C37="IA","enter cycle",Settings!$B$9))</f>
        <v/>
      </c>
      <c r="I37" s="6"/>
      <c r="J37" s="6"/>
      <c r="K37" s="6"/>
    </row>
    <row r="38" customFormat="false" ht="15" hidden="false" customHeight="false" outlineLevel="0" collapsed="false">
      <c r="A38" s="6"/>
      <c r="B38" s="6"/>
      <c r="C38" s="6"/>
      <c r="D38" s="6"/>
      <c r="E38" s="6"/>
      <c r="F38" s="33"/>
      <c r="G38" s="6"/>
      <c r="H38" s="14" t="str">
        <f aca="false">IF(A38="","",IF(C38="IA","enter cycle",Settings!$B$9))</f>
        <v/>
      </c>
      <c r="I38" s="6"/>
      <c r="J38" s="6"/>
      <c r="K38" s="6"/>
    </row>
    <row r="39" customFormat="false" ht="15" hidden="false" customHeight="false" outlineLevel="0" collapsed="false">
      <c r="A39" s="6"/>
      <c r="B39" s="6"/>
      <c r="C39" s="6"/>
      <c r="D39" s="6"/>
      <c r="E39" s="6"/>
      <c r="F39" s="33"/>
      <c r="G39" s="6"/>
      <c r="H39" s="14" t="str">
        <f aca="false">IF(A39="","",IF(C39="IA","enter cycle",Settings!$B$9))</f>
        <v/>
      </c>
      <c r="I39" s="6"/>
      <c r="J39" s="6"/>
      <c r="K39" s="6"/>
    </row>
    <row r="40" customFormat="false" ht="15" hidden="false" customHeight="false" outlineLevel="0" collapsed="false">
      <c r="A40" s="6"/>
      <c r="B40" s="6"/>
      <c r="C40" s="6"/>
      <c r="D40" s="6"/>
      <c r="E40" s="6"/>
      <c r="F40" s="33"/>
      <c r="G40" s="6"/>
      <c r="H40" s="14" t="str">
        <f aca="false">IF(A40="","",IF(C40="IA","enter cycle",Settings!$B$9))</f>
        <v/>
      </c>
      <c r="I40" s="6"/>
      <c r="J40" s="6"/>
      <c r="K40" s="6"/>
    </row>
    <row r="41" customFormat="false" ht="15" hidden="false" customHeight="false" outlineLevel="0" collapsed="false">
      <c r="A41" s="6"/>
      <c r="B41" s="6"/>
      <c r="C41" s="6"/>
      <c r="D41" s="6"/>
      <c r="E41" s="6"/>
      <c r="F41" s="33"/>
      <c r="G41" s="6"/>
      <c r="H41" s="14" t="str">
        <f aca="false">IF(A41="","",IF(C41="IA","enter cycle",Settings!$B$9))</f>
        <v/>
      </c>
      <c r="I41" s="6"/>
      <c r="J41" s="6"/>
      <c r="K41" s="6"/>
    </row>
    <row r="42" customFormat="false" ht="15" hidden="false" customHeight="false" outlineLevel="0" collapsed="false">
      <c r="A42" s="6"/>
      <c r="B42" s="6"/>
      <c r="C42" s="6"/>
      <c r="D42" s="6"/>
      <c r="E42" s="6"/>
      <c r="F42" s="33"/>
      <c r="G42" s="6"/>
      <c r="H42" s="14" t="str">
        <f aca="false">IF(A42="","",IF(C42="IA","enter cycle",Settings!$B$9))</f>
        <v/>
      </c>
      <c r="I42" s="6"/>
      <c r="J42" s="6"/>
      <c r="K42" s="6"/>
    </row>
    <row r="43" customFormat="false" ht="15" hidden="false" customHeight="false" outlineLevel="0" collapsed="false">
      <c r="A43" s="6"/>
      <c r="B43" s="6"/>
      <c r="C43" s="6"/>
      <c r="D43" s="6"/>
      <c r="E43" s="6"/>
      <c r="F43" s="33"/>
      <c r="G43" s="6"/>
      <c r="H43" s="14" t="str">
        <f aca="false">IF(A43="","",IF(C43="IA","enter cycle",Settings!$B$9))</f>
        <v/>
      </c>
      <c r="I43" s="6"/>
      <c r="J43" s="6"/>
      <c r="K43" s="6"/>
    </row>
    <row r="44" customFormat="false" ht="15" hidden="false" customHeight="false" outlineLevel="0" collapsed="false">
      <c r="A44" s="6"/>
      <c r="B44" s="6"/>
      <c r="C44" s="6"/>
      <c r="D44" s="6"/>
      <c r="E44" s="6"/>
      <c r="F44" s="33"/>
      <c r="G44" s="6"/>
      <c r="H44" s="14" t="str">
        <f aca="false">IF(A44="","",IF(C44="IA","enter cycle",Settings!$B$9))</f>
        <v/>
      </c>
      <c r="I44" s="6"/>
      <c r="J44" s="6"/>
      <c r="K44" s="6"/>
    </row>
    <row r="45" customFormat="false" ht="15" hidden="false" customHeight="false" outlineLevel="0" collapsed="false">
      <c r="A45" s="6"/>
      <c r="B45" s="6"/>
      <c r="C45" s="6"/>
      <c r="D45" s="6"/>
      <c r="E45" s="6"/>
      <c r="F45" s="33"/>
      <c r="G45" s="6"/>
      <c r="H45" s="14" t="str">
        <f aca="false">IF(A45="","",IF(C45="IA","enter cycle",Settings!$B$9))</f>
        <v/>
      </c>
      <c r="I45" s="6"/>
      <c r="J45" s="6"/>
      <c r="K45" s="6"/>
    </row>
  </sheetData>
  <dataValidations count="1">
    <dataValidation allowBlank="true" errorStyle="stop" operator="between" showDropDown="false" showErrorMessage="false" showInputMessage="false" sqref="C6:C45" type="list">
      <formula1>Settings!$C$15:$C$34</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&amp;LMWSPL-F-PROD-01 rev 00&amp;RPage &amp;P of &amp;N</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2026-10-26T06:15:58Z</dcterms:created>
  <dc:creator>openpyxl</dc:creator>
  <dc:description/>
  <dc:language>en-US</dc:language>
  <cp:lastModifiedBy/>
  <dcterms:modified xsi:type="dcterms:W3CDTF">2026-10-26T06:15:59Z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