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6.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xl/drawings/vmlDrawing2.vml" ContentType="application/vnd.openxmlformats-officedocument.vmlDrawing"/>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Daily checksheet" sheetId="2" state="visible" r:id="rId4"/>
    <sheet name="Monthly trend" sheetId="3" state="visible" r:id="rId5"/>
    <sheet name="Parameters" sheetId="4" state="visible" r:id="rId6"/>
    <sheet name="Example daily (F-02)" sheetId="5" state="visible" r:id="rId7"/>
    <sheet name="Example trend (F-02)" sheetId="6" state="visible" r:id="rId8"/>
  </sheets>
  <definedNames>
    <definedName function="false" hidden="false" localSheetId="1" name="_xlnm.Print_Area" vbProcedure="false">'Daily checksheet'!$A$1:$N$48</definedName>
    <definedName function="false" hidden="false" localSheetId="1" name="_xlnm.Print_Titles" vbProcedure="false">'Daily checksheet'!$9:$9</definedName>
    <definedName function="false" hidden="false" localSheetId="4" name="_xlnm.Print_Area" vbProcedure="false">'Example daily (F-02)'!$A$1:$N$48</definedName>
    <definedName function="false" hidden="false" localSheetId="4" name="_xlnm.Print_Titles" vbProcedure="false">'Example daily (F-02)'!$9:$9</definedName>
    <definedName function="false" hidden="false" localSheetId="5" name="_xlnm.Print_Area" vbProcedure="false">'Example trend (F-02)'!$A$1:$L$57</definedName>
    <definedName function="false" hidden="false" localSheetId="2" name="_xlnm.Print_Area" vbProcedure="false">'Monthly trend'!$A$1:$L$57</definedName>
    <definedName function="false" hidden="false" localSheetId="3" name="_xlnm.Print_Titles" vbProcedure="false">Parameters!$4:$4</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C8" authorId="0">
      <text>
        <r>
          <rPr>
            <sz val="10"/>
            <rFont val="Arial"/>
            <family val="2"/>
          </rPr>
          <t xml:space="preserve">Number from the Parameters sheet; change it to trend another parameter.</t>
        </r>
      </text>
    </comment>
    <comment ref="D8" authorId="0">
      <text>
        <r>
          <rPr>
            <sz val="10"/>
            <rFont val="Arial"/>
            <family val="2"/>
          </rPr>
          <t xml:space="preserve">Number from the Parameters sheet; change it to trend another parameter.</t>
        </r>
      </text>
    </comment>
    <comment ref="E8" authorId="0">
      <text>
        <r>
          <rPr>
            <sz val="10"/>
            <rFont val="Arial"/>
            <family val="2"/>
          </rPr>
          <t xml:space="preserve">Number from the Parameters sheet; change it to trend another parameter.</t>
        </r>
      </text>
    </comment>
    <comment ref="F8" authorId="0">
      <text>
        <r>
          <rPr>
            <sz val="10"/>
            <rFont val="Arial"/>
            <family val="2"/>
          </rPr>
          <t xml:space="preserve">Number from the Parameters sheet; change it to trend another parameter.</t>
        </r>
      </text>
    </comment>
    <comment ref="G8" authorId="0">
      <text>
        <r>
          <rPr>
            <sz val="10"/>
            <rFont val="Arial"/>
            <family val="2"/>
          </rPr>
          <t xml:space="preserve">Number from the Parameters sheet; change it to trend another parameter.</t>
        </r>
      </text>
    </comment>
    <comment ref="H8" authorId="0">
      <text>
        <r>
          <rPr>
            <sz val="10"/>
            <rFont val="Arial"/>
            <family val="2"/>
          </rPr>
          <t xml:space="preserve">Number from the Parameters sheet; change it to trend another parameter.</t>
        </r>
      </text>
    </comment>
    <comment ref="I8" authorId="0">
      <text>
        <r>
          <rPr>
            <sz val="10"/>
            <rFont val="Arial"/>
            <family val="2"/>
          </rPr>
          <t xml:space="preserve">Number from the Parameters sheet; change it to trend another parameter.</t>
        </r>
      </text>
    </comment>
    <comment ref="J8" authorId="0">
      <text>
        <r>
          <rPr>
            <sz val="10"/>
            <rFont val="Arial"/>
            <family val="2"/>
          </rPr>
          <t xml:space="preserve">Number from the Parameters sheet; change it to trend another parameter.</t>
        </r>
      </text>
    </comment>
    <comment ref="K8" authorId="0">
      <text>
        <r>
          <rPr>
            <sz val="10"/>
            <rFont val="Arial"/>
            <family val="2"/>
          </rPr>
          <t xml:space="preserve">Number from the Parameters sheet; change it to trend another parameter.</t>
        </r>
      </text>
    </comment>
    <comment ref="L8" authorId="0">
      <text>
        <r>
          <rPr>
            <sz val="10"/>
            <rFont val="Arial"/>
            <family val="2"/>
          </rPr>
          <t xml:space="preserve">Number from the Parameters sheet; change it to trend another parameter.</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C8" authorId="0">
      <text>
        <r>
          <rPr>
            <sz val="10"/>
            <rFont val="Arial"/>
            <family val="2"/>
          </rPr>
          <t xml:space="preserve">Number from the Parameters sheet; change it to trend another parameter.</t>
        </r>
      </text>
    </comment>
    <comment ref="D8" authorId="0">
      <text>
        <r>
          <rPr>
            <sz val="10"/>
            <rFont val="Arial"/>
            <family val="2"/>
          </rPr>
          <t xml:space="preserve">Number from the Parameters sheet; change it to trend another parameter.</t>
        </r>
      </text>
    </comment>
    <comment ref="E8" authorId="0">
      <text>
        <r>
          <rPr>
            <sz val="10"/>
            <rFont val="Arial"/>
            <family val="2"/>
          </rPr>
          <t xml:space="preserve">Number from the Parameters sheet; change it to trend another parameter.</t>
        </r>
      </text>
    </comment>
    <comment ref="F8" authorId="0">
      <text>
        <r>
          <rPr>
            <sz val="10"/>
            <rFont val="Arial"/>
            <family val="2"/>
          </rPr>
          <t xml:space="preserve">Number from the Parameters sheet; change it to trend another parameter.</t>
        </r>
      </text>
    </comment>
    <comment ref="G8" authorId="0">
      <text>
        <r>
          <rPr>
            <sz val="10"/>
            <rFont val="Arial"/>
            <family val="2"/>
          </rPr>
          <t xml:space="preserve">Number from the Parameters sheet; change it to trend another parameter.</t>
        </r>
      </text>
    </comment>
    <comment ref="H8" authorId="0">
      <text>
        <r>
          <rPr>
            <sz val="10"/>
            <rFont val="Arial"/>
            <family val="2"/>
          </rPr>
          <t xml:space="preserve">Number from the Parameters sheet; change it to trend another parameter.</t>
        </r>
      </text>
    </comment>
    <comment ref="I8" authorId="0">
      <text>
        <r>
          <rPr>
            <sz val="10"/>
            <rFont val="Arial"/>
            <family val="2"/>
          </rPr>
          <t xml:space="preserve">Number from the Parameters sheet; change it to trend another parameter.</t>
        </r>
      </text>
    </comment>
    <comment ref="J8" authorId="0">
      <text>
        <r>
          <rPr>
            <sz val="10"/>
            <rFont val="Arial"/>
            <family val="2"/>
          </rPr>
          <t xml:space="preserve">Number from the Parameters sheet; change it to trend another parameter.</t>
        </r>
      </text>
    </comment>
    <comment ref="K8" authorId="0">
      <text>
        <r>
          <rPr>
            <sz val="10"/>
            <rFont val="Arial"/>
            <family val="2"/>
          </rPr>
          <t xml:space="preserve">Number from the Parameters sheet; change it to trend another parameter.</t>
        </r>
      </text>
    </comment>
    <comment ref="L8" authorId="0">
      <text>
        <r>
          <rPr>
            <sz val="10"/>
            <rFont val="Arial"/>
            <family val="2"/>
          </rPr>
          <t xml:space="preserve">Number from the Parameters sheet; change it to trend another parameter.</t>
        </r>
      </text>
    </comment>
  </commentList>
</comments>
</file>

<file path=xl/sharedStrings.xml><?xml version="1.0" encoding="utf-8"?>
<sst xmlns="http://schemas.openxmlformats.org/spreadsheetml/2006/main" count="392" uniqueCount="192">
  <si>
    <t xml:space="preserve">Furnace predictive maintenance checksheet</t>
  </si>
  <si>
    <t xml:space="preserve">Mass Wire and Steels Pvt. Ltd. · Bhiwadi · pusher furnaces F-01 … F-04</t>
  </si>
  <si>
    <t xml:space="preserve">Why predictive</t>
  </si>
  <si>
    <t xml:space="preserve">Instead of only checking that equipment works, the same values are measured every day (pressures, motor currents, vibration, temperatures, controller output, wall difference). A slow change in a value warns of a failure weeks before it happens, so the work can be planned for a stop instead of a breakdown with product inside the furnace.</t>
  </si>
  <si>
    <t xml:space="preserve">Sheets</t>
  </si>
  <si>
    <t xml:space="preserve">Parameters – the list of what is measured, how, the normal value and the watch / act limits. One list for all furnaces; items for one furnace only (F-01 water quench, F-02 oil quench) say so in 'Applies to'.</t>
  </si>
  <si>
    <t xml:space="preserve">Daily checksheet – form F-MT-01, one per furnace per day. Status per item: OK, WATCH (beyond the watch limit) or ACT (beyond the action limit / check Not OK), and a result for the day.</t>
  </si>
  <si>
    <t xml:space="preserve">Monthly trend – form F-MT-02, one per furnace per month: the daily readings of 10 key parameters, the trend per day and the estimated days until the action limit.</t>
  </si>
  <si>
    <t xml:space="preserve">Example daily (F-02) / Example trend (F-02) – the forms filled in, showing a rising pusher pressure, rising blower vibration and a falling agitator current.</t>
  </si>
  <si>
    <t xml:space="preserve">How to fill in</t>
  </si>
  <si>
    <t xml:space="preserve">• Fill only the yellow cells; grey cells are calculated. Choose the furnace first: items for another furnace turn grey and show N/A (F-03 and F-04 have no quench).</t>
  </si>
  <si>
    <t xml:space="preserve">• Take readings at the same point, with the same instrument, at the same furnace condition every day (steady state for currents, outputs and wall difference) – otherwise the trend means nothing.</t>
  </si>
  <si>
    <t xml:space="preserve">• ACT: raise a maintenance work order the same day and write its number in Action / remarks. WATCH: enter the item on the trend sheet and plan the work.</t>
  </si>
  <si>
    <t xml:space="preserve">• Copy a form for each new day / month: right-click the tab → Move or Copy → Create a copy, then clear the yellow reading cells.</t>
  </si>
  <si>
    <t xml:space="preserve">Values to confirm</t>
  </si>
  <si>
    <t xml:space="preserve">• Every normal value and limit on the Parameters sheet is a TYPICAL starting value, not measured on your furnaces. For the first 2–4 weeks record readings only, then set 'Normal' to their average and the watch / act limits from the equipment manuals (blower, pump, motor nameplates) and experience.</t>
  </si>
  <si>
    <t xml:space="preserve">• Vibration limits follow the usual ISO 10816-3 zones for medium machines on rigid foundations (2.8 / 4.5 mm/s RMS); confirm the machine group with the maintenance team.</t>
  </si>
  <si>
    <t xml:space="preserve">• Quench agitation is not monitored on this line, so the agitator motor current is used as the indicator: a falling current usually means a worn or lost impeller or a slipping belt.</t>
  </si>
  <si>
    <t xml:space="preserve">• Wall difference (left − right) and controller output come from SCADA; they are also analysed in CALOR → Process → SCADA review, and a drifting thermocouple shows up in CALOR → Pyrometry → SAT.</t>
  </si>
  <si>
    <t xml:space="preserve">Fill-in cell (yellow)</t>
  </si>
  <si>
    <t xml:space="preserve">Calculated cell (grey)</t>
  </si>
  <si>
    <t xml:space="preserve">Mass Wire and Steels Pvt. Ltd. · Bhiwadi · Heat treatment maintenance</t>
  </si>
  <si>
    <t xml:space="preserve">Daily predictive maintenance checksheet – furnace</t>
  </si>
  <si>
    <t xml:space="preserve">Form F-MT-01 · Rev 0</t>
  </si>
  <si>
    <t xml:space="preserve">One sheet per furnace per day</t>
  </si>
  <si>
    <t xml:space="preserve">Furnace</t>
  </si>
  <si>
    <t xml:space="preserve">Date</t>
  </si>
  <si>
    <t xml:space="preserve">Shift</t>
  </si>
  <si>
    <t xml:space="preserve">Furnace state</t>
  </si>
  <si>
    <t xml:space="preserve">Checked by</t>
  </si>
  <si>
    <t xml:space="preserve">Instruments used</t>
  </si>
  <si>
    <t xml:space="preserve">Take the readings at the same time and place every day, with the furnace at steady state where the item says so. Enter yesterday's reading to see the change (or copy it from yesterday's sheet).</t>
  </si>
  <si>
    <t xml:space="preserve">No.</t>
  </si>
  <si>
    <t xml:space="preserve">Area</t>
  </si>
  <si>
    <t xml:space="preserve">Parameter</t>
  </si>
  <si>
    <t xml:space="preserve">Method / instrument</t>
  </si>
  <si>
    <t xml:space="preserve">Unit</t>
  </si>
  <si>
    <t xml:space="preserve">Limits</t>
  </si>
  <si>
    <t xml:space="preserve">Normal</t>
  </si>
  <si>
    <t xml:space="preserve">Reading today</t>
  </si>
  <si>
    <t xml:space="preserve">Reading yesterday</t>
  </si>
  <si>
    <t xml:space="preserve">Change since yesterday</t>
  </si>
  <si>
    <t xml:space="preserve">vs normal</t>
  </si>
  <si>
    <t xml:space="preserve">Status</t>
  </si>
  <si>
    <t xml:space="preserve">Action / remarks (work order no.)</t>
  </si>
  <si>
    <t xml:space="preserve">Applicable</t>
  </si>
  <si>
    <t xml:space="preserve">Summary (calculated)</t>
  </si>
  <si>
    <t xml:space="preserve">Items for this furnace</t>
  </si>
  <si>
    <t xml:space="preserve">Readings entered</t>
  </si>
  <si>
    <t xml:space="preserve">ACT – outside the action limit</t>
  </si>
  <si>
    <t xml:space="preserve">WATCH – beyond the watch limit</t>
  </si>
  <si>
    <t xml:space="preserve">RESULT</t>
  </si>
  <si>
    <t xml:space="preserve">Sign-off</t>
  </si>
  <si>
    <t xml:space="preserve">Name</t>
  </si>
  <si>
    <t xml:space="preserve">Signature</t>
  </si>
  <si>
    <t xml:space="preserve">Date / time</t>
  </si>
  <si>
    <t xml:space="preserve">Maintenance technician (checked)</t>
  </si>
  <si>
    <t xml:space="preserve">Maintenance Head (reviewed)</t>
  </si>
  <si>
    <t xml:space="preserve">Predictive maintenance trend – one sheet per furnace per month</t>
  </si>
  <si>
    <t xml:space="preserve">Month (first day)</t>
  </si>
  <si>
    <t xml:space="preserve">Copy the daily readings of the parameters below into the day rows (or choose other parameters by their number from the Parameters sheet). The rows at the bottom calculate the trend and how many days remain before the action limit.</t>
  </si>
  <si>
    <t xml:space="preserve">Parameter no.</t>
  </si>
  <si>
    <t xml:space="preserve">Day</t>
  </si>
  <si>
    <t xml:space="preserve">Reading</t>
  </si>
  <si>
    <t xml:space="preserve">Act if below</t>
  </si>
  <si>
    <t xml:space="preserve">Watch if below</t>
  </si>
  <si>
    <t xml:space="preserve">Watch if above</t>
  </si>
  <si>
    <t xml:space="preserve">Act if above</t>
  </si>
  <si>
    <t xml:space="preserve">Readings</t>
  </si>
  <si>
    <t xml:space="preserve">Latest reading</t>
  </si>
  <si>
    <t xml:space="preserve">Day of the latest reading</t>
  </si>
  <si>
    <t xml:space="preserve">Average this month</t>
  </si>
  <si>
    <t xml:space="preserve">Trend per day (slope)</t>
  </si>
  <si>
    <t xml:space="preserve">Trend at the latest day</t>
  </si>
  <si>
    <t xml:space="preserve">Days until the action limit (at this trend)</t>
  </si>
  <si>
    <t xml:space="preserve">Prediction</t>
  </si>
  <si>
    <t xml:space="preserve">How to read it: the trend is a straight line through this month's readings; 'Days until the action limit' extends that line to the nearest action limit in the direction it is moving. It is an estimate for planning, not a guarantee – confirm a PLAN WORK prediction with the equipment (vibration spectrum, inspection) before replacing parts.</t>
  </si>
  <si>
    <t xml:space="preserve">Mass Wire and Steels Pvt. Ltd. · Bhiwadi · Furnace predictive maintenance</t>
  </si>
  <si>
    <t xml:space="preserve">Parameters, normal values and limits – one list for all four furnaces (edit the yellow cells; the daily checksheet and the trend sheet read them from here)</t>
  </si>
  <si>
    <t xml:space="preserve">Values are TYPICAL starting points, not measured on your furnaces: replace the normal value with the average of the first 2–4 weeks of readings and set the limits from the equipment manuals.</t>
  </si>
  <si>
    <t xml:space="preserve">Kind</t>
  </si>
  <si>
    <t xml:space="preserve">Applies to</t>
  </si>
  <si>
    <t xml:space="preserve">Normal (baseline)</t>
  </si>
  <si>
    <t xml:space="preserve">What a change predicts</t>
  </si>
  <si>
    <t xml:space="preserve">Combustion</t>
  </si>
  <si>
    <t xml:space="preserve">Main gas pressure at the furnace gas train</t>
  </si>
  <si>
    <t xml:space="preserve">Gas train gauge</t>
  </si>
  <si>
    <t xml:space="preserve">mbar</t>
  </si>
  <si>
    <t xml:space="preserve">Value</t>
  </si>
  <si>
    <t xml:space="preserve">All</t>
  </si>
  <si>
    <t xml:space="preserve">Regulator / filter blockage; supply problems before a flame failure</t>
  </si>
  <si>
    <t xml:space="preserve">Combustion air pressure after the blower</t>
  </si>
  <si>
    <t xml:space="preserve">Air header gauge</t>
  </si>
  <si>
    <t xml:space="preserve">Blower / filter / damper deterioration; air-fuel ratio drift</t>
  </si>
  <si>
    <t xml:space="preserve">Combustion air blower motor current</t>
  </si>
  <si>
    <t xml:space="preserve">Clamp meter or panel ammeter (% of rated current)</t>
  </si>
  <si>
    <t xml:space="preserve">% FLA</t>
  </si>
  <si>
    <t xml:space="preserve">Bearing / impeller / belt problems, blocked intake</t>
  </si>
  <si>
    <t xml:space="preserve">Combustion air blower bearing vibration</t>
  </si>
  <si>
    <t xml:space="preserve">Handheld vibration meter, velocity RMS</t>
  </si>
  <si>
    <t xml:space="preserve">mm/s</t>
  </si>
  <si>
    <t xml:space="preserve">Bearing wear, imbalance, looseness (ISO 10816-3 group 2 rigid zones, to confirm)</t>
  </si>
  <si>
    <t xml:space="preserve">Combustion air blower bearing temperature</t>
  </si>
  <si>
    <t xml:space="preserve">IR thermometer</t>
  </si>
  <si>
    <t xml:space="preserve">°C</t>
  </si>
  <si>
    <t xml:space="preserve">Lubrication failure, bearing wear</t>
  </si>
  <si>
    <t xml:space="preserve">Burner flame failures / lockouts in the last 24 h</t>
  </si>
  <si>
    <t xml:space="preserve">Alarm log (CALOR → Alarms) / burner controller</t>
  </si>
  <si>
    <t xml:space="preserve">count</t>
  </si>
  <si>
    <t xml:space="preserve">Igniter / flame sensor / nozzle fouling</t>
  </si>
  <si>
    <t xml:space="preserve">Highest zone controller output at steady state, hardening chamber</t>
  </si>
  <si>
    <t xml:space="preserve">SCADA / controller display</t>
  </si>
  <si>
    <t xml:space="preserve">%</t>
  </si>
  <si>
    <t xml:space="preserve">Burner capacity loss, refractory heat loss, air leaks: rising output for the same set value</t>
  </si>
  <si>
    <t xml:space="preserve">Highest zone controller output at steady state, tempering chamber</t>
  </si>
  <si>
    <t xml:space="preserve">As above, tempering chamber</t>
  </si>
  <si>
    <t xml:space="preserve">Temperature</t>
  </si>
  <si>
    <t xml:space="preserve">Largest wall difference (left − right) of a zone, hardening chamber</t>
  </si>
  <si>
    <t xml:space="preserve">SCADA (TC odd = right, even = left)</t>
  </si>
  <si>
    <t xml:space="preserve">Burner imbalance on one wall or thermocouple drift (SAT due)</t>
  </si>
  <si>
    <t xml:space="preserve">Largest wall difference (left − right) of a zone, tempering chamber</t>
  </si>
  <si>
    <t xml:space="preserve">Over-temperature controller reading vs control thermocouple (difference)</t>
  </si>
  <si>
    <t xml:space="preserve">Panel displays</t>
  </si>
  <si>
    <t xml:space="preserve">Drift of the over-temperature sensor or the control thermocouple</t>
  </si>
  <si>
    <t xml:space="preserve">Refractory</t>
  </si>
  <si>
    <t xml:space="preserve">Furnace shell hottest spot (IR scan of walls, roof, doors)</t>
  </si>
  <si>
    <t xml:space="preserve">IR thermometer / camera, same route daily</t>
  </si>
  <si>
    <t xml:space="preserve">Refractory / insulation failure before a burn-through</t>
  </si>
  <si>
    <t xml:space="preserve">Door seals and flame curtains intact, no flame out of doors</t>
  </si>
  <si>
    <t xml:space="preserve">Visual</t>
  </si>
  <si>
    <t xml:space="preserve">Check</t>
  </si>
  <si>
    <t xml:space="preserve">Seal / curtain wear, heat loss, decarburization risk</t>
  </si>
  <si>
    <t xml:space="preserve">Pusher</t>
  </si>
  <si>
    <t xml:space="preserve">Pusher hydraulic pressure during the push</t>
  </si>
  <si>
    <t xml:space="preserve">Hydraulic gauge at mid-stroke</t>
  </si>
  <si>
    <t xml:space="preserve">bar</t>
  </si>
  <si>
    <t xml:space="preserve">Rising friction: hearth / rail wear, tray distortion, scale build-up, jam risk</t>
  </si>
  <si>
    <t xml:space="preserve">Push stroke time (one full push)</t>
  </si>
  <si>
    <t xml:space="preserve">Stopwatch / PLC</t>
  </si>
  <si>
    <t xml:space="preserve">s</t>
  </si>
  <si>
    <t xml:space="preserve">Pump wear, internal leakage, valve problems</t>
  </si>
  <si>
    <t xml:space="preserve">Hydraulic oil temperature</t>
  </si>
  <si>
    <t xml:space="preserve">Tank thermometer</t>
  </si>
  <si>
    <t xml:space="preserve">Cooler fouling, pump wear, oil degradation</t>
  </si>
  <si>
    <t xml:space="preserve">Hydraulic oil level and no leaks</t>
  </si>
  <si>
    <t xml:space="preserve">Sight glass / visual</t>
  </si>
  <si>
    <t xml:space="preserve">Seal and hose wear</t>
  </si>
  <si>
    <t xml:space="preserve">Transfer</t>
  </si>
  <si>
    <t xml:space="preserve">Extractor / rail transfer drive motor current</t>
  </si>
  <si>
    <t xml:space="preserve">Clamp meter or panel ammeter (% of rated)</t>
  </si>
  <si>
    <t xml:space="preserve">Rail / roller / chain wear, misalignment</t>
  </si>
  <si>
    <t xml:space="preserve">Chains, rails and rollers: lubricated, no abnormal noise</t>
  </si>
  <si>
    <t xml:space="preserve">Visual / listen</t>
  </si>
  <si>
    <t xml:space="preserve">Lubrication and wear</t>
  </si>
  <si>
    <t xml:space="preserve">Controlled cooling</t>
  </si>
  <si>
    <t xml:space="preserve">Cooling chamber blower motor current</t>
  </si>
  <si>
    <t xml:space="preserve">Blower / damper / filter problems: slower controlled cooling</t>
  </si>
  <si>
    <t xml:space="preserve">Cooling chamber blower bearing vibration</t>
  </si>
  <si>
    <t xml:space="preserve">Bearing wear, imbalance</t>
  </si>
  <si>
    <t xml:space="preserve">Quench</t>
  </si>
  <si>
    <t xml:space="preserve">Water quench tank temperature at the start of the shift</t>
  </si>
  <si>
    <t xml:space="preserve">Tank indicator / thermometer</t>
  </si>
  <si>
    <t xml:space="preserve">F-01</t>
  </si>
  <si>
    <t xml:space="preserve">Cooling water / heat exchanger capacity loss</t>
  </si>
  <si>
    <t xml:space="preserve">Oil quench tank temperature at the start of the shift</t>
  </si>
  <si>
    <t xml:space="preserve">F-02</t>
  </si>
  <si>
    <t xml:space="preserve">Heater / cooler control problems</t>
  </si>
  <si>
    <t xml:space="preserve">Quench agitator motor current (agitation is not monitored: current is the indicator)</t>
  </si>
  <si>
    <t xml:space="preserve">F-01, F-02</t>
  </si>
  <si>
    <t xml:space="preserve">Falling current: impeller wear / loss, belt slip; rising: bearing / jamming</t>
  </si>
  <si>
    <t xml:space="preserve">Oil cooler temperature drop (oil in − oil out)</t>
  </si>
  <si>
    <t xml:space="preserve">Thermometers at the cooler</t>
  </si>
  <si>
    <t xml:space="preserve">Cooler fouling: slower heat removal before the oil overheats</t>
  </si>
  <si>
    <t xml:space="preserve">Quench elevator / conveyor: no abnormal noise, chain tension</t>
  </si>
  <si>
    <t xml:space="preserve">Chain / sprocket wear</t>
  </si>
  <si>
    <t xml:space="preserve">Electrical</t>
  </si>
  <si>
    <t xml:space="preserve">Control panel internal temperature</t>
  </si>
  <si>
    <t xml:space="preserve">Panel thermometer / IR</t>
  </si>
  <si>
    <t xml:space="preserve">Panel cooling failure, overheating components</t>
  </si>
  <si>
    <t xml:space="preserve">Thermocouple heads, compensating cables and connections intact</t>
  </si>
  <si>
    <t xml:space="preserve">Damaged cables, loose connections (reading drift)</t>
  </si>
  <si>
    <t xml:space="preserve">A (06:00-14:00)</t>
  </si>
  <si>
    <t xml:space="preserve">Running (steady state)</t>
  </si>
  <si>
    <t xml:space="preserve">Maintenance fitter (example)</t>
  </si>
  <si>
    <t xml:space="preserve">Clamp meter CM-03, vibration meter VM-01, IR gun IR-02</t>
  </si>
  <si>
    <t xml:space="preserve">Vibration rising for 3 weeks – see the trend sheet; spectrum check booked (WO-1187)</t>
  </si>
  <si>
    <t xml:space="preserve">Zone 3: right wall 6 °C hotter – check burner 3R air/gas ratio; SAT of TC-05/TC-06 due 02-Dec</t>
  </si>
  <si>
    <t xml:space="preserve">OK</t>
  </si>
  <si>
    <t xml:space="preserve">Push pressure rising ~1.2 bar/day – inspect hearth rails and trays at the next stop (WO-1190)</t>
  </si>
  <si>
    <t xml:space="preserve">Agitator current falling – check impeller and belt at the next stop</t>
  </si>
  <si>
    <t xml:space="preserve">D. Sharma (example)</t>
  </si>
  <si>
    <t xml:space="preserve">Maintenance Head (example)</t>
  </si>
</sst>
</file>

<file path=xl/styles.xml><?xml version="1.0" encoding="utf-8"?>
<styleSheet xmlns="http://schemas.openxmlformats.org/spreadsheetml/2006/main">
  <numFmts count="10">
    <numFmt numFmtId="164" formatCode="General"/>
    <numFmt numFmtId="165" formatCode="dd\-mmm\-yyyy"/>
    <numFmt numFmtId="166" formatCode="General"/>
    <numFmt numFmtId="167" formatCode="\+0.0;\-0.0;0"/>
    <numFmt numFmtId="168" formatCode="\+0%;\-0%;0%"/>
    <numFmt numFmtId="169" formatCode="mmm\-yyyy"/>
    <numFmt numFmtId="170" formatCode="dd\-mmm"/>
    <numFmt numFmtId="171" formatCode="0.0"/>
    <numFmt numFmtId="172" formatCode="\+0.00;\-0.00;0.00"/>
    <numFmt numFmtId="173" formatCode="0"/>
  </numFmts>
  <fonts count="20">
    <font>
      <sz val="11"/>
      <color theme="1"/>
      <name val="Calibri"/>
      <family val="2"/>
      <charset val="1"/>
    </font>
    <font>
      <sz val="10"/>
      <name val="Arial"/>
      <family val="0"/>
    </font>
    <font>
      <sz val="10"/>
      <name val="Arial"/>
      <family val="0"/>
    </font>
    <font>
      <sz val="10"/>
      <name val="Arial"/>
      <family val="0"/>
    </font>
    <font>
      <b val="true"/>
      <sz val="15"/>
      <color rgb="FF000000"/>
      <name val="Arial"/>
      <family val="0"/>
      <charset val="1"/>
    </font>
    <font>
      <sz val="10"/>
      <color rgb="FF555555"/>
      <name val="Arial"/>
      <family val="0"/>
      <charset val="1"/>
    </font>
    <font>
      <sz val="10"/>
      <color rgb="FF000000"/>
      <name val="Arial"/>
      <family val="0"/>
      <charset val="1"/>
    </font>
    <font>
      <b val="true"/>
      <sz val="11"/>
      <color rgb="FF000000"/>
      <name val="Arial"/>
      <family val="0"/>
      <charset val="1"/>
    </font>
    <font>
      <b val="true"/>
      <sz val="10"/>
      <color rgb="FFFFFFFF"/>
      <name val="Arial"/>
      <family val="0"/>
      <charset val="1"/>
    </font>
    <font>
      <sz val="9"/>
      <color rgb="FF000000"/>
      <name val="Arial"/>
      <family val="0"/>
      <charset val="1"/>
    </font>
    <font>
      <b val="true"/>
      <sz val="9"/>
      <color rgb="FF000000"/>
      <name val="Arial"/>
      <family val="0"/>
      <charset val="1"/>
    </font>
    <font>
      <sz val="9"/>
      <color rgb="FF555555"/>
      <name val="Arial"/>
      <family val="0"/>
      <charset val="1"/>
    </font>
    <font>
      <b val="true"/>
      <sz val="9"/>
      <color rgb="FFFFFFFF"/>
      <name val="Arial"/>
      <family val="0"/>
      <charset val="1"/>
    </font>
    <font>
      <sz val="8"/>
      <color rgb="FF000000"/>
      <name val="Arial"/>
      <family val="0"/>
      <charset val="1"/>
    </font>
    <font>
      <b val="true"/>
      <sz val="10"/>
      <color rgb="FF000000"/>
      <name val="Arial"/>
      <family val="0"/>
      <charset val="1"/>
    </font>
    <font>
      <sz val="10"/>
      <color rgb="FF0000FF"/>
      <name val="Arial"/>
      <family val="0"/>
      <charset val="1"/>
    </font>
    <font>
      <b val="true"/>
      <sz val="8"/>
      <color rgb="FFFFFFFF"/>
      <name val="Arial"/>
      <family val="0"/>
      <charset val="1"/>
    </font>
    <font>
      <sz val="10"/>
      <name val="Arial"/>
      <family val="2"/>
    </font>
    <font>
      <b val="true"/>
      <sz val="12"/>
      <color rgb="FF000000"/>
      <name val="Arial"/>
      <family val="0"/>
      <charset val="1"/>
    </font>
    <font>
      <sz val="9"/>
      <color rgb="FF9C0006"/>
      <name val="Arial"/>
      <family val="0"/>
      <charset val="1"/>
    </font>
  </fonts>
  <fills count="6">
    <fill>
      <patternFill patternType="none"/>
    </fill>
    <fill>
      <patternFill patternType="gray125"/>
    </fill>
    <fill>
      <patternFill patternType="solid">
        <fgColor rgb="FFFFF6C8"/>
        <bgColor rgb="FFFCE8C3"/>
      </patternFill>
    </fill>
    <fill>
      <patternFill patternType="solid">
        <fgColor rgb="FFF2F4F4"/>
        <bgColor rgb="FFFFFFFF"/>
      </patternFill>
    </fill>
    <fill>
      <patternFill patternType="solid">
        <fgColor rgb="FF1F4E5A"/>
        <bgColor rgb="FF1B5E20"/>
      </patternFill>
    </fill>
    <fill>
      <patternFill patternType="solid">
        <fgColor rgb="FFDCE6E8"/>
        <bgColor rgb="FFE6E6E6"/>
      </patternFill>
    </fill>
  </fills>
  <borders count="2">
    <border diagonalUp="false" diagonalDown="false">
      <left/>
      <right/>
      <top/>
      <bottom/>
      <diagonal/>
    </border>
    <border diagonalUp="false" diagonalDown="false">
      <left style="thin">
        <color rgb="FF8A9AA0"/>
      </left>
      <right style="thin">
        <color rgb="FF8A9AA0"/>
      </right>
      <top style="thin">
        <color rgb="FF8A9AA0"/>
      </top>
      <bottom style="thin">
        <color rgb="FF8A9AA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general" vertical="center" textRotation="0" wrapText="true" indent="0" shrinkToFit="false"/>
      <protection locked="true" hidden="false"/>
    </xf>
    <xf numFmtId="164" fontId="4" fillId="0"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6" fillId="5" borderId="1" xfId="0" applyFont="true" applyBorder="true" applyAlignment="true" applyProtection="false">
      <alignment horizontal="general" vertical="center" textRotation="0" wrapText="true" indent="0" shrinkToFit="false"/>
      <protection locked="true" hidden="false"/>
    </xf>
    <xf numFmtId="164" fontId="10" fillId="5" borderId="1" xfId="0" applyFont="true" applyBorder="true" applyAlignment="true" applyProtection="false">
      <alignment horizontal="general" vertical="center" textRotation="0" wrapText="tru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5" fontId="6" fillId="2" borderId="1" xfId="0" applyFont="true" applyBorder="tru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general"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6"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6" fontId="6" fillId="3"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7" fontId="6" fillId="3" borderId="1" xfId="0" applyFont="true" applyBorder="true" applyAlignment="true" applyProtection="false">
      <alignment horizontal="center" vertical="center" textRotation="0" wrapText="true" indent="0" shrinkToFit="false"/>
      <protection locked="true" hidden="false"/>
    </xf>
    <xf numFmtId="168" fontId="6" fillId="3" borderId="1" xfId="0" applyFont="true" applyBorder="true" applyAlignment="true" applyProtection="false">
      <alignment horizontal="center" vertical="center" textRotation="0" wrapText="tru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6" fontId="14" fillId="3" borderId="1" xfId="0" applyFont="tru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general"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9" fontId="6" fillId="2" borderId="1" xfId="0" applyFont="true" applyBorder="true" applyAlignment="true" applyProtection="false">
      <alignment horizontal="center" vertical="center" textRotation="0" wrapText="true" indent="0" shrinkToFit="false"/>
      <protection locked="true" hidden="false"/>
    </xf>
    <xf numFmtId="164" fontId="15" fillId="2"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general" vertical="center" textRotation="0" wrapText="true" indent="0" shrinkToFit="false"/>
      <protection locked="true" hidden="false"/>
    </xf>
    <xf numFmtId="164" fontId="16" fillId="4"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70" fontId="9" fillId="3" borderId="1" xfId="0" applyFont="true" applyBorder="true" applyAlignment="true" applyProtection="false">
      <alignment horizontal="center" vertical="center" textRotation="0" wrapText="true" indent="0" shrinkToFit="false"/>
      <protection locked="true" hidden="false"/>
    </xf>
    <xf numFmtId="166" fontId="9" fillId="3" borderId="1" xfId="0" applyFont="true" applyBorder="true" applyAlignment="true" applyProtection="false">
      <alignment horizontal="center" vertical="center" textRotation="0" wrapText="true" indent="0" shrinkToFit="false"/>
      <protection locked="true" hidden="false"/>
    </xf>
    <xf numFmtId="171" fontId="9" fillId="3" borderId="1" xfId="0" applyFont="true" applyBorder="true" applyAlignment="true" applyProtection="false">
      <alignment horizontal="center" vertical="center" textRotation="0" wrapText="true" indent="0" shrinkToFit="false"/>
      <protection locked="true" hidden="false"/>
    </xf>
    <xf numFmtId="172" fontId="9" fillId="3" borderId="1" xfId="0" applyFont="true" applyBorder="true" applyAlignment="true" applyProtection="false">
      <alignment horizontal="center" vertical="center" textRotation="0" wrapText="true" indent="0" shrinkToFit="false"/>
      <protection locked="true" hidden="false"/>
    </xf>
    <xf numFmtId="173" fontId="9" fillId="3"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8" fillId="0" borderId="1" xfId="0" applyFont="true" applyBorder="true" applyAlignment="true" applyProtection="false">
      <alignment horizontal="general" vertical="center" textRotation="0" wrapText="true" indent="0" shrinkToFit="false"/>
      <protection locked="true" hidden="false"/>
    </xf>
    <xf numFmtId="164" fontId="19" fillId="0" borderId="1" xfId="0" applyFont="true" applyBorder="true" applyAlignment="true" applyProtection="false">
      <alignment horizontal="general" vertical="center" textRotation="0" wrapText="true" indent="0" shrinkToFit="false"/>
      <protection locked="true" hidden="false"/>
    </xf>
    <xf numFmtId="164" fontId="15" fillId="2" borderId="1" xfId="0" applyFont="true" applyBorder="true" applyAlignment="true" applyProtection="false">
      <alignment horizontal="general" vertical="center" textRotation="0" wrapText="true" indent="0" shrinkToFit="false"/>
      <protection locked="true" hidden="false"/>
    </xf>
    <xf numFmtId="165" fontId="15" fillId="2" borderId="1" xfId="0" applyFont="true" applyBorder="true" applyAlignment="true" applyProtection="false">
      <alignment horizontal="general" vertical="center" textRotation="0" wrapText="true" indent="0" shrinkToFit="false"/>
      <protection locked="true" hidden="false"/>
    </xf>
    <xf numFmtId="169" fontId="15" fillId="2"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name val="Arial"/>
        <charset val="1"/>
        <family val="0"/>
        <b val="1"/>
        <color rgb="FF9C0006"/>
      </font>
      <fill>
        <patternFill>
          <bgColor rgb="FFF8D2D2"/>
        </patternFill>
      </fill>
    </dxf>
    <dxf>
      <font>
        <name val="Arial"/>
        <charset val="1"/>
        <family val="0"/>
        <b val="1"/>
        <color rgb="FF7A4A00"/>
      </font>
      <fill>
        <patternFill>
          <bgColor rgb="FFFCE8C3"/>
        </patternFill>
      </fill>
    </dxf>
    <dxf>
      <font>
        <name val="Arial"/>
        <charset val="1"/>
        <family val="0"/>
        <b val="1"/>
        <color rgb="FF1B5E20"/>
      </font>
      <fill>
        <patternFill>
          <bgColor rgb="FFD5EFD9"/>
        </patternFill>
      </fill>
    </dxf>
    <dxf>
      <font>
        <name val="Arial"/>
        <charset val="1"/>
        <family val="0"/>
        <color rgb="FF808080"/>
      </font>
      <fill>
        <patternFill>
          <bgColor rgb="FFE6E6E6"/>
        </patternFill>
      </fill>
    </dxf>
    <dxf>
      <font>
        <name val="Arial"/>
        <charset val="1"/>
        <family val="0"/>
        <color rgb="FF7A4A00"/>
      </font>
      <fill>
        <patternFill>
          <bgColor rgb="FFFCE8C3"/>
        </patternFill>
      </fill>
    </dxf>
  </dxfs>
  <colors>
    <indexedColors>
      <rgbColor rgb="FF000000"/>
      <rgbColor rgb="FFFFFFFF"/>
      <rgbColor rgb="FFFF0000"/>
      <rgbColor rgb="FF00FF00"/>
      <rgbColor rgb="FF0000FF"/>
      <rgbColor rgb="FFFFFF00"/>
      <rgbColor rgb="FFFF00FF"/>
      <rgbColor rgb="FF00FFFF"/>
      <rgbColor rgb="FF9C0006"/>
      <rgbColor rgb="FF1B5E20"/>
      <rgbColor rgb="FF000080"/>
      <rgbColor rgb="FF808000"/>
      <rgbColor rgb="FF800080"/>
      <rgbColor rgb="FF008080"/>
      <rgbColor rgb="FFC0C0C0"/>
      <rgbColor rgb="FF808080"/>
      <rgbColor rgb="FF9AA5A8"/>
      <rgbColor rgb="FF993366"/>
      <rgbColor rgb="FFFFF6C8"/>
      <rgbColor rgb="FFDCE6E8"/>
      <rgbColor rgb="FF660066"/>
      <rgbColor rgb="FFFF8080"/>
      <rgbColor rgb="FF0066CC"/>
      <rgbColor rgb="FFE6E6E6"/>
      <rgbColor rgb="FF000080"/>
      <rgbColor rgb="FFFF00FF"/>
      <rgbColor rgb="FFFFFF00"/>
      <rgbColor rgb="FF00FFFF"/>
      <rgbColor rgb="FF800080"/>
      <rgbColor rgb="FF800000"/>
      <rgbColor rgb="FF008080"/>
      <rgbColor rgb="FF0000FF"/>
      <rgbColor rgb="FF00CCFF"/>
      <rgbColor rgb="FFF2F4F4"/>
      <rgbColor rgb="FFD5EFD9"/>
      <rgbColor rgb="FFFCE8C3"/>
      <rgbColor rgb="FF99CCFF"/>
      <rgbColor rgb="FFFF99CC"/>
      <rgbColor rgb="FFCC99FF"/>
      <rgbColor rgb="FFF8D2D2"/>
      <rgbColor rgb="FF3366FF"/>
      <rgbColor rgb="FF33CCCC"/>
      <rgbColor rgb="FF99CC00"/>
      <rgbColor rgb="FFFFCC00"/>
      <rgbColor rgb="FFFF9900"/>
      <rgbColor rgb="FFFF6600"/>
      <rgbColor rgb="FF555555"/>
      <rgbColor rgb="FF8A9AA0"/>
      <rgbColor rgb="FF003366"/>
      <rgbColor rgb="FF339966"/>
      <rgbColor rgb="FF003300"/>
      <rgbColor rgb="FF333300"/>
      <rgbColor rgb="FF7A4A00"/>
      <rgbColor rgb="FF993366"/>
      <rgbColor rgb="FF333399"/>
      <rgbColor rgb="FF1F4E5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5"/>
  </cols>
  <sheetData>
    <row r="1" customFormat="false" ht="18.55" hidden="false" customHeight="false" outlineLevel="0" collapsed="false">
      <c r="B1" s="1" t="s">
        <v>0</v>
      </c>
    </row>
    <row r="2" customFormat="false" ht="15" hidden="false" customHeight="false" outlineLevel="0" collapsed="false">
      <c r="B2" s="2" t="s">
        <v>1</v>
      </c>
    </row>
    <row r="3" customFormat="false" ht="15" hidden="false" customHeight="false" outlineLevel="0" collapsed="false">
      <c r="B3" s="3"/>
    </row>
    <row r="4" customFormat="false" ht="15" hidden="false" customHeight="false" outlineLevel="0" collapsed="false">
      <c r="B4" s="4" t="s">
        <v>2</v>
      </c>
    </row>
    <row r="5" customFormat="false" ht="35.05" hidden="false" customHeight="false" outlineLevel="0" collapsed="false">
      <c r="B5" s="3" t="s">
        <v>3</v>
      </c>
    </row>
    <row r="6" customFormat="false" ht="15" hidden="false" customHeight="false" outlineLevel="0" collapsed="false">
      <c r="B6" s="3"/>
    </row>
    <row r="7" customFormat="false" ht="15" hidden="false" customHeight="false" outlineLevel="0" collapsed="false">
      <c r="B7" s="4" t="s">
        <v>4</v>
      </c>
    </row>
    <row r="8" customFormat="false" ht="23.85" hidden="false" customHeight="false" outlineLevel="0" collapsed="false">
      <c r="B8" s="3" t="s">
        <v>5</v>
      </c>
    </row>
    <row r="9" customFormat="false" ht="23.85" hidden="false" customHeight="false" outlineLevel="0" collapsed="false">
      <c r="B9" s="3" t="s">
        <v>6</v>
      </c>
    </row>
    <row r="10" customFormat="false" ht="23.85" hidden="false" customHeight="false" outlineLevel="0" collapsed="false">
      <c r="B10" s="3" t="s">
        <v>7</v>
      </c>
    </row>
    <row r="11" customFormat="false" ht="23.85" hidden="false" customHeight="false" outlineLevel="0" collapsed="false">
      <c r="B11" s="3" t="s">
        <v>8</v>
      </c>
    </row>
    <row r="12" customFormat="false" ht="15" hidden="false" customHeight="false" outlineLevel="0" collapsed="false">
      <c r="B12" s="3"/>
    </row>
    <row r="13" customFormat="false" ht="15" hidden="false" customHeight="false" outlineLevel="0" collapsed="false">
      <c r="B13" s="4" t="s">
        <v>9</v>
      </c>
    </row>
    <row r="14" customFormat="false" ht="23.85" hidden="false" customHeight="false" outlineLevel="0" collapsed="false">
      <c r="B14" s="3" t="s">
        <v>10</v>
      </c>
    </row>
    <row r="15" customFormat="false" ht="23.85" hidden="false" customHeight="false" outlineLevel="0" collapsed="false">
      <c r="B15" s="3" t="s">
        <v>11</v>
      </c>
    </row>
    <row r="16" customFormat="false" ht="23.85" hidden="false" customHeight="false" outlineLevel="0" collapsed="false">
      <c r="B16" s="3" t="s">
        <v>12</v>
      </c>
    </row>
    <row r="17" customFormat="false" ht="15" hidden="false" customHeight="false" outlineLevel="0" collapsed="false">
      <c r="B17" s="3" t="s">
        <v>13</v>
      </c>
    </row>
    <row r="18" customFormat="false" ht="15" hidden="false" customHeight="false" outlineLevel="0" collapsed="false">
      <c r="B18" s="3"/>
    </row>
    <row r="19" customFormat="false" ht="15" hidden="false" customHeight="false" outlineLevel="0" collapsed="false">
      <c r="B19" s="4" t="s">
        <v>14</v>
      </c>
    </row>
    <row r="20" customFormat="false" ht="35.05" hidden="false" customHeight="false" outlineLevel="0" collapsed="false">
      <c r="B20" s="3" t="s">
        <v>15</v>
      </c>
    </row>
    <row r="21" customFormat="false" ht="23.85" hidden="false" customHeight="false" outlineLevel="0" collapsed="false">
      <c r="B21" s="3" t="s">
        <v>16</v>
      </c>
    </row>
    <row r="22" customFormat="false" ht="23.85" hidden="false" customHeight="false" outlineLevel="0" collapsed="false">
      <c r="B22" s="3" t="s">
        <v>17</v>
      </c>
    </row>
    <row r="23" customFormat="false" ht="23.85" hidden="false" customHeight="false" outlineLevel="0" collapsed="false">
      <c r="B23" s="3" t="s">
        <v>18</v>
      </c>
    </row>
    <row r="25" customFormat="false" ht="15" hidden="false" customHeight="false" outlineLevel="0" collapsed="false">
      <c r="B25" s="5" t="s">
        <v>19</v>
      </c>
    </row>
    <row r="26" customFormat="false" ht="15" hidden="false" customHeight="false" outlineLevel="0" collapsed="false">
      <c r="B26" s="6"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5A"/>
    <pageSetUpPr fitToPage="true"/>
  </sheetPr>
  <dimension ref="A1:N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3"/>
    <col collapsed="false" customWidth="true" hidden="false" outlineLevel="0" max="3" min="3" style="0" width="44"/>
    <col collapsed="false" customWidth="true" hidden="false" outlineLevel="0" max="4" min="4" style="0" width="24"/>
    <col collapsed="false" customWidth="true" hidden="false" outlineLevel="0" max="5" min="5" style="0" width="7"/>
    <col collapsed="false" customWidth="true" hidden="false" outlineLevel="0" max="6" min="6" style="0" width="20"/>
    <col collapsed="false" customWidth="true" hidden="false" outlineLevel="0" max="7" min="7" style="0" width="9"/>
    <col collapsed="false" customWidth="true" hidden="false" outlineLevel="0" max="9" min="8" style="0" width="10"/>
    <col collapsed="false" customWidth="true" hidden="false" outlineLevel="0" max="12" min="10" style="0" width="9"/>
    <col collapsed="false" customWidth="true" hidden="false" outlineLevel="0" max="13" min="13" style="0" width="30"/>
    <col collapsed="false" customWidth="true" hidden="false" outlineLevel="0" max="14" min="14" style="0" width="11"/>
  </cols>
  <sheetData>
    <row r="1" customFormat="false" ht="15" hidden="false" customHeight="true" outlineLevel="0" collapsed="false">
      <c r="A1" s="7" t="s">
        <v>21</v>
      </c>
      <c r="B1" s="7"/>
      <c r="C1" s="7"/>
      <c r="D1" s="7"/>
      <c r="E1" s="7"/>
      <c r="F1" s="7"/>
      <c r="G1" s="7"/>
      <c r="H1" s="7"/>
      <c r="I1" s="7"/>
      <c r="J1" s="7"/>
      <c r="K1" s="7"/>
      <c r="L1" s="7"/>
      <c r="M1" s="7"/>
      <c r="N1" s="7"/>
    </row>
    <row r="2" customFormat="false" ht="15" hidden="false" customHeight="true" outlineLevel="0" collapsed="false">
      <c r="A2" s="8" t="s">
        <v>22</v>
      </c>
      <c r="B2" s="8"/>
      <c r="C2" s="8"/>
      <c r="D2" s="8"/>
      <c r="E2" s="8"/>
      <c r="F2" s="8"/>
      <c r="G2" s="8"/>
      <c r="H2" s="8"/>
      <c r="I2" s="8"/>
      <c r="J2" s="8"/>
      <c r="K2" s="9" t="s">
        <v>23</v>
      </c>
      <c r="L2" s="9"/>
      <c r="M2" s="9"/>
      <c r="N2" s="9"/>
    </row>
    <row r="3" customFormat="false" ht="15" hidden="false" customHeight="true" outlineLevel="0" collapsed="false">
      <c r="A3" s="8"/>
      <c r="B3" s="8"/>
      <c r="C3" s="8"/>
      <c r="D3" s="8"/>
      <c r="E3" s="8"/>
      <c r="F3" s="8"/>
      <c r="G3" s="8"/>
      <c r="H3" s="8"/>
      <c r="I3" s="8"/>
      <c r="J3" s="8"/>
      <c r="K3" s="9" t="s">
        <v>24</v>
      </c>
      <c r="L3" s="9"/>
      <c r="M3" s="9"/>
      <c r="N3" s="9"/>
    </row>
    <row r="5" customFormat="false" ht="15" hidden="false" customHeight="false" outlineLevel="0" collapsed="false">
      <c r="A5" s="10"/>
      <c r="B5" s="11" t="s">
        <v>25</v>
      </c>
      <c r="C5" s="12"/>
      <c r="D5" s="12"/>
      <c r="F5" s="11" t="s">
        <v>26</v>
      </c>
      <c r="G5" s="13"/>
      <c r="H5" s="13"/>
      <c r="I5" s="13"/>
      <c r="J5" s="11" t="s">
        <v>27</v>
      </c>
      <c r="K5" s="12"/>
      <c r="L5" s="12"/>
      <c r="M5" s="12"/>
      <c r="N5" s="12"/>
    </row>
    <row r="6" customFormat="false" ht="22.35" hidden="false" customHeight="false" outlineLevel="0" collapsed="false">
      <c r="A6" s="10"/>
      <c r="B6" s="11" t="s">
        <v>28</v>
      </c>
      <c r="C6" s="12"/>
      <c r="D6" s="12"/>
      <c r="F6" s="11" t="s">
        <v>29</v>
      </c>
      <c r="G6" s="12"/>
      <c r="H6" s="12"/>
      <c r="I6" s="12"/>
      <c r="J6" s="11" t="s">
        <v>30</v>
      </c>
      <c r="K6" s="12"/>
      <c r="L6" s="12"/>
      <c r="M6" s="12"/>
      <c r="N6" s="12"/>
    </row>
    <row r="7" customFormat="false" ht="15" hidden="false" customHeight="true" outlineLevel="0" collapsed="false">
      <c r="A7" s="14" t="s">
        <v>31</v>
      </c>
      <c r="B7" s="14"/>
      <c r="C7" s="14"/>
      <c r="D7" s="14"/>
      <c r="E7" s="14"/>
      <c r="F7" s="14"/>
      <c r="G7" s="14"/>
      <c r="H7" s="14"/>
      <c r="I7" s="14"/>
      <c r="J7" s="14"/>
      <c r="K7" s="14"/>
      <c r="L7" s="14"/>
      <c r="M7" s="14"/>
      <c r="N7" s="14"/>
    </row>
    <row r="9" customFormat="false" ht="30" hidden="false" customHeight="true" outlineLevel="0" collapsed="false">
      <c r="A9" s="15" t="s">
        <v>32</v>
      </c>
      <c r="B9" s="15" t="s">
        <v>33</v>
      </c>
      <c r="C9" s="15" t="s">
        <v>34</v>
      </c>
      <c r="D9" s="15" t="s">
        <v>35</v>
      </c>
      <c r="E9" s="15" t="s">
        <v>36</v>
      </c>
      <c r="F9" s="15" t="s">
        <v>37</v>
      </c>
      <c r="G9" s="15" t="s">
        <v>38</v>
      </c>
      <c r="H9" s="15" t="s">
        <v>39</v>
      </c>
      <c r="I9" s="15" t="s">
        <v>40</v>
      </c>
      <c r="J9" s="15" t="s">
        <v>41</v>
      </c>
      <c r="K9" s="15" t="s">
        <v>42</v>
      </c>
      <c r="L9" s="15" t="s">
        <v>43</v>
      </c>
      <c r="M9" s="15" t="s">
        <v>44</v>
      </c>
      <c r="N9" s="15" t="s">
        <v>45</v>
      </c>
    </row>
    <row r="10" customFormat="false" ht="30" hidden="false" customHeight="true" outlineLevel="0" collapsed="false">
      <c r="A10" s="16" t="n">
        <f aca="false">Parameters!$A$5</f>
        <v>1</v>
      </c>
      <c r="B10" s="17" t="str">
        <f aca="false">Parameters!$B$5</f>
        <v>Combustion</v>
      </c>
      <c r="C10" s="17" t="str">
        <f aca="false">Parameters!$C$5</f>
        <v>Main gas pressure at the furnace gas train</v>
      </c>
      <c r="D10" s="18" t="str">
        <f aca="false">Parameters!$D$5</f>
        <v>Gas train gauge</v>
      </c>
      <c r="E10" s="16" t="str">
        <f aca="false">IF(Parameters!$E$5="","",Parameters!$E$5)</f>
        <v>mbar</v>
      </c>
      <c r="F10" s="19" t="str">
        <f aca="false">IF(Parameters!$F$5="Check","OK / Not OK",TRIM(IF(Parameters!$I$5&lt;&gt;"","act &lt;"&amp;Parameters!$I$5&amp;"  ","")&amp;IF(Parameters!$J$5&lt;&gt;"","watch &lt;"&amp;Parameters!$J$5&amp;"  ","")&amp;IF(Parameters!$K$5&lt;&gt;"","watch &gt;"&amp;Parameters!$K$5&amp;"  ","")&amp;IF(Parameters!$L$5&lt;&gt;"","act &gt;"&amp;Parameters!$L$5,"")))</f>
        <v>act &lt;30 watch &lt;34 watch &gt;46 act &gt;50</v>
      </c>
      <c r="G10" s="20" t="n">
        <f aca="false">IF(Parameters!$H$5="","",Parameters!$H$5)</f>
        <v>40</v>
      </c>
      <c r="H10" s="21"/>
      <c r="I10" s="21"/>
      <c r="J10" s="22" t="str">
        <f aca="false">IF(OR(H10="",I10="",Parameters!$F$5="Check"),"",H10-I10)</f>
        <v/>
      </c>
      <c r="K10" s="23" t="str">
        <f aca="false">IF(OR(H10="",G10="",Parameters!$F$5="Check"),"",IF(G10=0,H10-G10,(H10-G10)/ABS(G10)))</f>
        <v/>
      </c>
      <c r="L10" s="24" t="str">
        <f aca="false">IF(LEFT(N10,2)="No","N/A",IF(H10="","",IF(Parameters!$F$5="Check",IF(H10="OK","OK","ACT"),IF(OR(AND(Parameters!$I$5&lt;&gt;"",H10&lt;Parameters!$I$5),AND(Parameters!$L$5&lt;&gt;"",H10&gt;Parameters!$L$5)),"ACT",IF(OR(AND(Parameters!$J$5&lt;&gt;"",H10&lt;Parameters!$J$5),AND(Parameters!$K$5&lt;&gt;"",H10&gt;Parameters!$K$5)),"WATCH","OK")))))</f>
        <v/>
      </c>
      <c r="M10" s="12"/>
      <c r="N10" s="19" t="str">
        <f aca="false">IF(Parameters!$G$5="All","Yes",IF($C$5="","Yes",IF(ISNUMBER(SEARCH($C$5,Parameters!$G$5)),"Yes","No – N/A for "&amp;$C$5)))</f>
        <v>Yes</v>
      </c>
    </row>
    <row r="11" customFormat="false" ht="30" hidden="false" customHeight="true" outlineLevel="0" collapsed="false">
      <c r="A11" s="16" t="n">
        <f aca="false">Parameters!$A$6</f>
        <v>2</v>
      </c>
      <c r="B11" s="17" t="str">
        <f aca="false">Parameters!$B$6</f>
        <v>Combustion</v>
      </c>
      <c r="C11" s="17" t="str">
        <f aca="false">Parameters!$C$6</f>
        <v>Combustion air pressure after the blower</v>
      </c>
      <c r="D11" s="18" t="str">
        <f aca="false">Parameters!$D$6</f>
        <v>Air header gauge</v>
      </c>
      <c r="E11" s="16" t="str">
        <f aca="false">IF(Parameters!$E$6="","",Parameters!$E$6)</f>
        <v>mbar</v>
      </c>
      <c r="F11" s="19" t="str">
        <f aca="false">IF(Parameters!$F$6="Check","OK / Not OK",TRIM(IF(Parameters!$I$6&lt;&gt;"","act &lt;"&amp;Parameters!$I$6&amp;"  ","")&amp;IF(Parameters!$J$6&lt;&gt;"","watch &lt;"&amp;Parameters!$J$6&amp;"  ","")&amp;IF(Parameters!$K$6&lt;&gt;"","watch &gt;"&amp;Parameters!$K$6&amp;"  ","")&amp;IF(Parameters!$L$6&lt;&gt;"","act &gt;"&amp;Parameters!$L$6,"")))</f>
        <v>act &lt;48 watch &lt;53 watch &gt;70 act &gt;75</v>
      </c>
      <c r="G11" s="20" t="n">
        <f aca="false">IF(Parameters!$H$6="","",Parameters!$H$6)</f>
        <v>60</v>
      </c>
      <c r="H11" s="21"/>
      <c r="I11" s="21"/>
      <c r="J11" s="22" t="str">
        <f aca="false">IF(OR(H11="",I11="",Parameters!$F$6="Check"),"",H11-I11)</f>
        <v/>
      </c>
      <c r="K11" s="23" t="str">
        <f aca="false">IF(OR(H11="",G11="",Parameters!$F$6="Check"),"",IF(G11=0,H11-G11,(H11-G11)/ABS(G11)))</f>
        <v/>
      </c>
      <c r="L11" s="24" t="str">
        <f aca="false">IF(LEFT(N11,2)="No","N/A",IF(H11="","",IF(Parameters!$F$6="Check",IF(H11="OK","OK","ACT"),IF(OR(AND(Parameters!$I$6&lt;&gt;"",H11&lt;Parameters!$I$6),AND(Parameters!$L$6&lt;&gt;"",H11&gt;Parameters!$L$6)),"ACT",IF(OR(AND(Parameters!$J$6&lt;&gt;"",H11&lt;Parameters!$J$6),AND(Parameters!$K$6&lt;&gt;"",H11&gt;Parameters!$K$6)),"WATCH","OK")))))</f>
        <v/>
      </c>
      <c r="M11" s="12"/>
      <c r="N11" s="19" t="str">
        <f aca="false">IF(Parameters!$G$6="All","Yes",IF($C$5="","Yes",IF(ISNUMBER(SEARCH($C$5,Parameters!$G$6)),"Yes","No – N/A for "&amp;$C$5)))</f>
        <v>Yes</v>
      </c>
    </row>
    <row r="12" customFormat="false" ht="30" hidden="false" customHeight="true" outlineLevel="0" collapsed="false">
      <c r="A12" s="16" t="n">
        <f aca="false">Parameters!$A$7</f>
        <v>3</v>
      </c>
      <c r="B12" s="17" t="str">
        <f aca="false">Parameters!$B$7</f>
        <v>Combustion</v>
      </c>
      <c r="C12" s="17" t="str">
        <f aca="false">Parameters!$C$7</f>
        <v>Combustion air blower motor current</v>
      </c>
      <c r="D12" s="18" t="str">
        <f aca="false">Parameters!$D$7</f>
        <v>Clamp meter or panel ammeter (% of rated current)</v>
      </c>
      <c r="E12" s="16" t="str">
        <f aca="false">IF(Parameters!$E$7="","",Parameters!$E$7)</f>
        <v>% FLA</v>
      </c>
      <c r="F12" s="19" t="str">
        <f aca="false">IF(Parameters!$F$7="Check","OK / Not OK",TRIM(IF(Parameters!$I$7&lt;&gt;"","act &lt;"&amp;Parameters!$I$7&amp;"  ","")&amp;IF(Parameters!$J$7&lt;&gt;"","watch &lt;"&amp;Parameters!$J$7&amp;"  ","")&amp;IF(Parameters!$K$7&lt;&gt;"","watch &gt;"&amp;Parameters!$K$7&amp;"  ","")&amp;IF(Parameters!$L$7&lt;&gt;"","act &gt;"&amp;Parameters!$L$7,"")))</f>
        <v>act &lt;40 watch &lt;55 watch &gt;85 act &gt;95</v>
      </c>
      <c r="G12" s="20" t="n">
        <f aca="false">IF(Parameters!$H$7="","",Parameters!$H$7)</f>
        <v>70</v>
      </c>
      <c r="H12" s="21"/>
      <c r="I12" s="21"/>
      <c r="J12" s="22" t="str">
        <f aca="false">IF(OR(H12="",I12="",Parameters!$F$7="Check"),"",H12-I12)</f>
        <v/>
      </c>
      <c r="K12" s="23" t="str">
        <f aca="false">IF(OR(H12="",G12="",Parameters!$F$7="Check"),"",IF(G12=0,H12-G12,(H12-G12)/ABS(G12)))</f>
        <v/>
      </c>
      <c r="L12" s="24" t="str">
        <f aca="false">IF(LEFT(N12,2)="No","N/A",IF(H12="","",IF(Parameters!$F$7="Check",IF(H12="OK","OK","ACT"),IF(OR(AND(Parameters!$I$7&lt;&gt;"",H12&lt;Parameters!$I$7),AND(Parameters!$L$7&lt;&gt;"",H12&gt;Parameters!$L$7)),"ACT",IF(OR(AND(Parameters!$J$7&lt;&gt;"",H12&lt;Parameters!$J$7),AND(Parameters!$K$7&lt;&gt;"",H12&gt;Parameters!$K$7)),"WATCH","OK")))))</f>
        <v/>
      </c>
      <c r="M12" s="12"/>
      <c r="N12" s="19" t="str">
        <f aca="false">IF(Parameters!$G$7="All","Yes",IF($C$5="","Yes",IF(ISNUMBER(SEARCH($C$5,Parameters!$G$7)),"Yes","No – N/A for "&amp;$C$5)))</f>
        <v>Yes</v>
      </c>
    </row>
    <row r="13" customFormat="false" ht="30" hidden="false" customHeight="true" outlineLevel="0" collapsed="false">
      <c r="A13" s="16" t="n">
        <f aca="false">Parameters!$A$8</f>
        <v>4</v>
      </c>
      <c r="B13" s="17" t="str">
        <f aca="false">Parameters!$B$8</f>
        <v>Combustion</v>
      </c>
      <c r="C13" s="17" t="str">
        <f aca="false">Parameters!$C$8</f>
        <v>Combustion air blower bearing vibration</v>
      </c>
      <c r="D13" s="18" t="str">
        <f aca="false">Parameters!$D$8</f>
        <v>Handheld vibration meter, velocity RMS</v>
      </c>
      <c r="E13" s="16" t="str">
        <f aca="false">IF(Parameters!$E$8="","",Parameters!$E$8)</f>
        <v>mm/s</v>
      </c>
      <c r="F13" s="19" t="str">
        <f aca="false">IF(Parameters!$F$8="Check","OK / Not OK",TRIM(IF(Parameters!$I$8&lt;&gt;"","act &lt;"&amp;Parameters!$I$8&amp;"  ","")&amp;IF(Parameters!$J$8&lt;&gt;"","watch &lt;"&amp;Parameters!$J$8&amp;"  ","")&amp;IF(Parameters!$K$8&lt;&gt;"","watch &gt;"&amp;Parameters!$K$8&amp;"  ","")&amp;IF(Parameters!$L$8&lt;&gt;"","act &gt;"&amp;Parameters!$L$8,"")))</f>
        <v>watch &gt;2.8 act &gt;4.5</v>
      </c>
      <c r="G13" s="20" t="n">
        <f aca="false">IF(Parameters!$H$8="","",Parameters!$H$8)</f>
        <v>1.5</v>
      </c>
      <c r="H13" s="21"/>
      <c r="I13" s="21"/>
      <c r="J13" s="22" t="str">
        <f aca="false">IF(OR(H13="",I13="",Parameters!$F$8="Check"),"",H13-I13)</f>
        <v/>
      </c>
      <c r="K13" s="23" t="str">
        <f aca="false">IF(OR(H13="",G13="",Parameters!$F$8="Check"),"",IF(G13=0,H13-G13,(H13-G13)/ABS(G13)))</f>
        <v/>
      </c>
      <c r="L13" s="24" t="str">
        <f aca="false">IF(LEFT(N13,2)="No","N/A",IF(H13="","",IF(Parameters!$F$8="Check",IF(H13="OK","OK","ACT"),IF(OR(AND(Parameters!$I$8&lt;&gt;"",H13&lt;Parameters!$I$8),AND(Parameters!$L$8&lt;&gt;"",H13&gt;Parameters!$L$8)),"ACT",IF(OR(AND(Parameters!$J$8&lt;&gt;"",H13&lt;Parameters!$J$8),AND(Parameters!$K$8&lt;&gt;"",H13&gt;Parameters!$K$8)),"WATCH","OK")))))</f>
        <v/>
      </c>
      <c r="M13" s="12"/>
      <c r="N13" s="19" t="str">
        <f aca="false">IF(Parameters!$G$8="All","Yes",IF($C$5="","Yes",IF(ISNUMBER(SEARCH($C$5,Parameters!$G$8)),"Yes","No – N/A for "&amp;$C$5)))</f>
        <v>Yes</v>
      </c>
    </row>
    <row r="14" customFormat="false" ht="30" hidden="false" customHeight="true" outlineLevel="0" collapsed="false">
      <c r="A14" s="16" t="n">
        <f aca="false">Parameters!$A$9</f>
        <v>5</v>
      </c>
      <c r="B14" s="17" t="str">
        <f aca="false">Parameters!$B$9</f>
        <v>Combustion</v>
      </c>
      <c r="C14" s="17" t="str">
        <f aca="false">Parameters!$C$9</f>
        <v>Combustion air blower bearing temperature</v>
      </c>
      <c r="D14" s="18" t="str">
        <f aca="false">Parameters!$D$9</f>
        <v>IR thermometer</v>
      </c>
      <c r="E14" s="16" t="str">
        <f aca="false">IF(Parameters!$E$9="","",Parameters!$E$9)</f>
        <v>°C</v>
      </c>
      <c r="F14" s="19" t="str">
        <f aca="false">IF(Parameters!$F$9="Check","OK / Not OK",TRIM(IF(Parameters!$I$9&lt;&gt;"","act &lt;"&amp;Parameters!$I$9&amp;"  ","")&amp;IF(Parameters!$J$9&lt;&gt;"","watch &lt;"&amp;Parameters!$J$9&amp;"  ","")&amp;IF(Parameters!$K$9&lt;&gt;"","watch &gt;"&amp;Parameters!$K$9&amp;"  ","")&amp;IF(Parameters!$L$9&lt;&gt;"","act &gt;"&amp;Parameters!$L$9,"")))</f>
        <v>watch &gt;70 act &gt;85</v>
      </c>
      <c r="G14" s="20" t="n">
        <f aca="false">IF(Parameters!$H$9="","",Parameters!$H$9)</f>
        <v>50</v>
      </c>
      <c r="H14" s="21"/>
      <c r="I14" s="21"/>
      <c r="J14" s="22" t="str">
        <f aca="false">IF(OR(H14="",I14="",Parameters!$F$9="Check"),"",H14-I14)</f>
        <v/>
      </c>
      <c r="K14" s="23" t="str">
        <f aca="false">IF(OR(H14="",G14="",Parameters!$F$9="Check"),"",IF(G14=0,H14-G14,(H14-G14)/ABS(G14)))</f>
        <v/>
      </c>
      <c r="L14" s="24" t="str">
        <f aca="false">IF(LEFT(N14,2)="No","N/A",IF(H14="","",IF(Parameters!$F$9="Check",IF(H14="OK","OK","ACT"),IF(OR(AND(Parameters!$I$9&lt;&gt;"",H14&lt;Parameters!$I$9),AND(Parameters!$L$9&lt;&gt;"",H14&gt;Parameters!$L$9)),"ACT",IF(OR(AND(Parameters!$J$9&lt;&gt;"",H14&lt;Parameters!$J$9),AND(Parameters!$K$9&lt;&gt;"",H14&gt;Parameters!$K$9)),"WATCH","OK")))))</f>
        <v/>
      </c>
      <c r="M14" s="12"/>
      <c r="N14" s="19" t="str">
        <f aca="false">IF(Parameters!$G$9="All","Yes",IF($C$5="","Yes",IF(ISNUMBER(SEARCH($C$5,Parameters!$G$9)),"Yes","No – N/A for "&amp;$C$5)))</f>
        <v>Yes</v>
      </c>
    </row>
    <row r="15" customFormat="false" ht="30" hidden="false" customHeight="true" outlineLevel="0" collapsed="false">
      <c r="A15" s="16" t="n">
        <f aca="false">Parameters!$A$10</f>
        <v>6</v>
      </c>
      <c r="B15" s="17" t="str">
        <f aca="false">Parameters!$B$10</f>
        <v>Combustion</v>
      </c>
      <c r="C15" s="17" t="str">
        <f aca="false">Parameters!$C$10</f>
        <v>Burner flame failures / lockouts in the last 24 h</v>
      </c>
      <c r="D15" s="18" t="str">
        <f aca="false">Parameters!$D$10</f>
        <v>Alarm log (CALOR → Alarms) / burner controller</v>
      </c>
      <c r="E15" s="16" t="str">
        <f aca="false">IF(Parameters!$E$10="","",Parameters!$E$10)</f>
        <v>count</v>
      </c>
      <c r="F15" s="19" t="str">
        <f aca="false">IF(Parameters!$F$10="Check","OK / Not OK",TRIM(IF(Parameters!$I$10&lt;&gt;"","act &lt;"&amp;Parameters!$I$10&amp;"  ","")&amp;IF(Parameters!$J$10&lt;&gt;"","watch &lt;"&amp;Parameters!$J$10&amp;"  ","")&amp;IF(Parameters!$K$10&lt;&gt;"","watch &gt;"&amp;Parameters!$K$10&amp;"  ","")&amp;IF(Parameters!$L$10&lt;&gt;"","act &gt;"&amp;Parameters!$L$10,"")))</f>
        <v>watch &gt;1 act &gt;3</v>
      </c>
      <c r="G15" s="20" t="n">
        <f aca="false">IF(Parameters!$H$10="","",Parameters!$H$10)</f>
        <v>0</v>
      </c>
      <c r="H15" s="21"/>
      <c r="I15" s="21"/>
      <c r="J15" s="22" t="str">
        <f aca="false">IF(OR(H15="",I15="",Parameters!$F$10="Check"),"",H15-I15)</f>
        <v/>
      </c>
      <c r="K15" s="22" t="str">
        <f aca="false">IF(OR(H15="",G15="",Parameters!$F$10="Check"),"",IF(G15=0,H15-G15,(H15-G15)/ABS(G15)))</f>
        <v/>
      </c>
      <c r="L15" s="24" t="str">
        <f aca="false">IF(LEFT(N15,2)="No","N/A",IF(H15="","",IF(Parameters!$F$10="Check",IF(H15="OK","OK","ACT"),IF(OR(AND(Parameters!$I$10&lt;&gt;"",H15&lt;Parameters!$I$10),AND(Parameters!$L$10&lt;&gt;"",H15&gt;Parameters!$L$10)),"ACT",IF(OR(AND(Parameters!$J$10&lt;&gt;"",H15&lt;Parameters!$J$10),AND(Parameters!$K$10&lt;&gt;"",H15&gt;Parameters!$K$10)),"WATCH","OK")))))</f>
        <v/>
      </c>
      <c r="M15" s="12"/>
      <c r="N15" s="19" t="str">
        <f aca="false">IF(Parameters!$G$10="All","Yes",IF($C$5="","Yes",IF(ISNUMBER(SEARCH($C$5,Parameters!$G$10)),"Yes","No – N/A for "&amp;$C$5)))</f>
        <v>Yes</v>
      </c>
    </row>
    <row r="16" customFormat="false" ht="30" hidden="false" customHeight="true" outlineLevel="0" collapsed="false">
      <c r="A16" s="16" t="n">
        <f aca="false">Parameters!$A$11</f>
        <v>7</v>
      </c>
      <c r="B16" s="17" t="str">
        <f aca="false">Parameters!$B$11</f>
        <v>Combustion</v>
      </c>
      <c r="C16" s="17" t="str">
        <f aca="false">Parameters!$C$11</f>
        <v>Highest zone controller output at steady state, hardening chamber</v>
      </c>
      <c r="D16" s="18" t="str">
        <f aca="false">Parameters!$D$11</f>
        <v>SCADA / controller display</v>
      </c>
      <c r="E16" s="16" t="str">
        <f aca="false">IF(Parameters!$E$11="","",Parameters!$E$11)</f>
        <v>%</v>
      </c>
      <c r="F16" s="19" t="str">
        <f aca="false">IF(Parameters!$F$11="Check","OK / Not OK",TRIM(IF(Parameters!$I$11&lt;&gt;"","act &lt;"&amp;Parameters!$I$11&amp;"  ","")&amp;IF(Parameters!$J$11&lt;&gt;"","watch &lt;"&amp;Parameters!$J$11&amp;"  ","")&amp;IF(Parameters!$K$11&lt;&gt;"","watch &gt;"&amp;Parameters!$K$11&amp;"  ","")&amp;IF(Parameters!$L$11&lt;&gt;"","act &gt;"&amp;Parameters!$L$11,"")))</f>
        <v>watch &gt;75 act &gt;90</v>
      </c>
      <c r="G16" s="20" t="n">
        <f aca="false">IF(Parameters!$H$11="","",Parameters!$H$11)</f>
        <v>55</v>
      </c>
      <c r="H16" s="21"/>
      <c r="I16" s="21"/>
      <c r="J16" s="22" t="str">
        <f aca="false">IF(OR(H16="",I16="",Parameters!$F$11="Check"),"",H16-I16)</f>
        <v/>
      </c>
      <c r="K16" s="23" t="str">
        <f aca="false">IF(OR(H16="",G16="",Parameters!$F$11="Check"),"",IF(G16=0,H16-G16,(H16-G16)/ABS(G16)))</f>
        <v/>
      </c>
      <c r="L16" s="24" t="str">
        <f aca="false">IF(LEFT(N16,2)="No","N/A",IF(H16="","",IF(Parameters!$F$11="Check",IF(H16="OK","OK","ACT"),IF(OR(AND(Parameters!$I$11&lt;&gt;"",H16&lt;Parameters!$I$11),AND(Parameters!$L$11&lt;&gt;"",H16&gt;Parameters!$L$11)),"ACT",IF(OR(AND(Parameters!$J$11&lt;&gt;"",H16&lt;Parameters!$J$11),AND(Parameters!$K$11&lt;&gt;"",H16&gt;Parameters!$K$11)),"WATCH","OK")))))</f>
        <v/>
      </c>
      <c r="M16" s="12"/>
      <c r="N16" s="19" t="str">
        <f aca="false">IF(Parameters!$G$11="All","Yes",IF($C$5="","Yes",IF(ISNUMBER(SEARCH($C$5,Parameters!$G$11)),"Yes","No – N/A for "&amp;$C$5)))</f>
        <v>Yes</v>
      </c>
    </row>
    <row r="17" customFormat="false" ht="30" hidden="false" customHeight="true" outlineLevel="0" collapsed="false">
      <c r="A17" s="16" t="n">
        <f aca="false">Parameters!$A$12</f>
        <v>8</v>
      </c>
      <c r="B17" s="17" t="str">
        <f aca="false">Parameters!$B$12</f>
        <v>Combustion</v>
      </c>
      <c r="C17" s="17" t="str">
        <f aca="false">Parameters!$C$12</f>
        <v>Highest zone controller output at steady state, tempering chamber</v>
      </c>
      <c r="D17" s="18" t="str">
        <f aca="false">Parameters!$D$12</f>
        <v>SCADA / controller display</v>
      </c>
      <c r="E17" s="16" t="str">
        <f aca="false">IF(Parameters!$E$12="","",Parameters!$E$12)</f>
        <v>%</v>
      </c>
      <c r="F17" s="19" t="str">
        <f aca="false">IF(Parameters!$F$12="Check","OK / Not OK",TRIM(IF(Parameters!$I$12&lt;&gt;"","act &lt;"&amp;Parameters!$I$12&amp;"  ","")&amp;IF(Parameters!$J$12&lt;&gt;"","watch &lt;"&amp;Parameters!$J$12&amp;"  ","")&amp;IF(Parameters!$K$12&lt;&gt;"","watch &gt;"&amp;Parameters!$K$12&amp;"  ","")&amp;IF(Parameters!$L$12&lt;&gt;"","act &gt;"&amp;Parameters!$L$12,"")))</f>
        <v>watch &gt;70 act &gt;85</v>
      </c>
      <c r="G17" s="20" t="n">
        <f aca="false">IF(Parameters!$H$12="","",Parameters!$H$12)</f>
        <v>45</v>
      </c>
      <c r="H17" s="21"/>
      <c r="I17" s="21"/>
      <c r="J17" s="22" t="str">
        <f aca="false">IF(OR(H17="",I17="",Parameters!$F$12="Check"),"",H17-I17)</f>
        <v/>
      </c>
      <c r="K17" s="23" t="str">
        <f aca="false">IF(OR(H17="",G17="",Parameters!$F$12="Check"),"",IF(G17=0,H17-G17,(H17-G17)/ABS(G17)))</f>
        <v/>
      </c>
      <c r="L17" s="24" t="str">
        <f aca="false">IF(LEFT(N17,2)="No","N/A",IF(H17="","",IF(Parameters!$F$12="Check",IF(H17="OK","OK","ACT"),IF(OR(AND(Parameters!$I$12&lt;&gt;"",H17&lt;Parameters!$I$12),AND(Parameters!$L$12&lt;&gt;"",H17&gt;Parameters!$L$12)),"ACT",IF(OR(AND(Parameters!$J$12&lt;&gt;"",H17&lt;Parameters!$J$12),AND(Parameters!$K$12&lt;&gt;"",H17&gt;Parameters!$K$12)),"WATCH","OK")))))</f>
        <v/>
      </c>
      <c r="M17" s="12"/>
      <c r="N17" s="19" t="str">
        <f aca="false">IF(Parameters!$G$12="All","Yes",IF($C$5="","Yes",IF(ISNUMBER(SEARCH($C$5,Parameters!$G$12)),"Yes","No – N/A for "&amp;$C$5)))</f>
        <v>Yes</v>
      </c>
    </row>
    <row r="18" customFormat="false" ht="30" hidden="false" customHeight="true" outlineLevel="0" collapsed="false">
      <c r="A18" s="16" t="n">
        <f aca="false">Parameters!$A$13</f>
        <v>9</v>
      </c>
      <c r="B18" s="17" t="str">
        <f aca="false">Parameters!$B$13</f>
        <v>Temperature</v>
      </c>
      <c r="C18" s="17" t="str">
        <f aca="false">Parameters!$C$13</f>
        <v>Largest wall difference (left − right) of a zone, hardening chamber</v>
      </c>
      <c r="D18" s="18" t="str">
        <f aca="false">Parameters!$D$13</f>
        <v>SCADA (TC odd = right, even = left)</v>
      </c>
      <c r="E18" s="16" t="str">
        <f aca="false">IF(Parameters!$E$13="","",Parameters!$E$13)</f>
        <v>°C</v>
      </c>
      <c r="F18" s="19" t="str">
        <f aca="false">IF(Parameters!$F$13="Check","OK / Not OK",TRIM(IF(Parameters!$I$13&lt;&gt;"","act &lt;"&amp;Parameters!$I$13&amp;"  ","")&amp;IF(Parameters!$J$13&lt;&gt;"","watch &lt;"&amp;Parameters!$J$13&amp;"  ","")&amp;IF(Parameters!$K$13&lt;&gt;"","watch &gt;"&amp;Parameters!$K$13&amp;"  ","")&amp;IF(Parameters!$L$13&lt;&gt;"","act &gt;"&amp;Parameters!$L$13,"")))</f>
        <v>act &lt;-8 watch &lt;-5 watch &gt;5 act &gt;8</v>
      </c>
      <c r="G18" s="20" t="n">
        <f aca="false">IF(Parameters!$H$13="","",Parameters!$H$13)</f>
        <v>0</v>
      </c>
      <c r="H18" s="21"/>
      <c r="I18" s="21"/>
      <c r="J18" s="22" t="str">
        <f aca="false">IF(OR(H18="",I18="",Parameters!$F$13="Check"),"",H18-I18)</f>
        <v/>
      </c>
      <c r="K18" s="22" t="str">
        <f aca="false">IF(OR(H18="",G18="",Parameters!$F$13="Check"),"",IF(G18=0,H18-G18,(H18-G18)/ABS(G18)))</f>
        <v/>
      </c>
      <c r="L18" s="24" t="str">
        <f aca="false">IF(LEFT(N18,2)="No","N/A",IF(H18="","",IF(Parameters!$F$13="Check",IF(H18="OK","OK","ACT"),IF(OR(AND(Parameters!$I$13&lt;&gt;"",H18&lt;Parameters!$I$13),AND(Parameters!$L$13&lt;&gt;"",H18&gt;Parameters!$L$13)),"ACT",IF(OR(AND(Parameters!$J$13&lt;&gt;"",H18&lt;Parameters!$J$13),AND(Parameters!$K$13&lt;&gt;"",H18&gt;Parameters!$K$13)),"WATCH","OK")))))</f>
        <v/>
      </c>
      <c r="M18" s="12"/>
      <c r="N18" s="19" t="str">
        <f aca="false">IF(Parameters!$G$13="All","Yes",IF($C$5="","Yes",IF(ISNUMBER(SEARCH($C$5,Parameters!$G$13)),"Yes","No – N/A for "&amp;$C$5)))</f>
        <v>Yes</v>
      </c>
    </row>
    <row r="19" customFormat="false" ht="30" hidden="false" customHeight="true" outlineLevel="0" collapsed="false">
      <c r="A19" s="16" t="n">
        <f aca="false">Parameters!$A$14</f>
        <v>10</v>
      </c>
      <c r="B19" s="17" t="str">
        <f aca="false">Parameters!$B$14</f>
        <v>Temperature</v>
      </c>
      <c r="C19" s="17" t="str">
        <f aca="false">Parameters!$C$14</f>
        <v>Largest wall difference (left − right) of a zone, tempering chamber</v>
      </c>
      <c r="D19" s="18" t="str">
        <f aca="false">Parameters!$D$14</f>
        <v>SCADA (TC odd = right, even = left)</v>
      </c>
      <c r="E19" s="16" t="str">
        <f aca="false">IF(Parameters!$E$14="","",Parameters!$E$14)</f>
        <v>°C</v>
      </c>
      <c r="F19" s="19" t="str">
        <f aca="false">IF(Parameters!$F$14="Check","OK / Not OK",TRIM(IF(Parameters!$I$14&lt;&gt;"","act &lt;"&amp;Parameters!$I$14&amp;"  ","")&amp;IF(Parameters!$J$14&lt;&gt;"","watch &lt;"&amp;Parameters!$J$14&amp;"  ","")&amp;IF(Parameters!$K$14&lt;&gt;"","watch &gt;"&amp;Parameters!$K$14&amp;"  ","")&amp;IF(Parameters!$L$14&lt;&gt;"","act &gt;"&amp;Parameters!$L$14,"")))</f>
        <v>act &lt;-8 watch &lt;-5 watch &gt;5 act &gt;8</v>
      </c>
      <c r="G19" s="20" t="n">
        <f aca="false">IF(Parameters!$H$14="","",Parameters!$H$14)</f>
        <v>0</v>
      </c>
      <c r="H19" s="21"/>
      <c r="I19" s="21"/>
      <c r="J19" s="22" t="str">
        <f aca="false">IF(OR(H19="",I19="",Parameters!$F$14="Check"),"",H19-I19)</f>
        <v/>
      </c>
      <c r="K19" s="22" t="str">
        <f aca="false">IF(OR(H19="",G19="",Parameters!$F$14="Check"),"",IF(G19=0,H19-G19,(H19-G19)/ABS(G19)))</f>
        <v/>
      </c>
      <c r="L19" s="24" t="str">
        <f aca="false">IF(LEFT(N19,2)="No","N/A",IF(H19="","",IF(Parameters!$F$14="Check",IF(H19="OK","OK","ACT"),IF(OR(AND(Parameters!$I$14&lt;&gt;"",H19&lt;Parameters!$I$14),AND(Parameters!$L$14&lt;&gt;"",H19&gt;Parameters!$L$14)),"ACT",IF(OR(AND(Parameters!$J$14&lt;&gt;"",H19&lt;Parameters!$J$14),AND(Parameters!$K$14&lt;&gt;"",H19&gt;Parameters!$K$14)),"WATCH","OK")))))</f>
        <v/>
      </c>
      <c r="M19" s="12"/>
      <c r="N19" s="19" t="str">
        <f aca="false">IF(Parameters!$G$14="All","Yes",IF($C$5="","Yes",IF(ISNUMBER(SEARCH($C$5,Parameters!$G$14)),"Yes","No – N/A for "&amp;$C$5)))</f>
        <v>Yes</v>
      </c>
    </row>
    <row r="20" customFormat="false" ht="30" hidden="false" customHeight="true" outlineLevel="0" collapsed="false">
      <c r="A20" s="16" t="n">
        <f aca="false">Parameters!$A$15</f>
        <v>11</v>
      </c>
      <c r="B20" s="17" t="str">
        <f aca="false">Parameters!$B$15</f>
        <v>Temperature</v>
      </c>
      <c r="C20" s="17" t="str">
        <f aca="false">Parameters!$C$15</f>
        <v>Over-temperature controller reading vs control thermocouple (difference)</v>
      </c>
      <c r="D20" s="18" t="str">
        <f aca="false">Parameters!$D$15</f>
        <v>Panel displays</v>
      </c>
      <c r="E20" s="16" t="str">
        <f aca="false">IF(Parameters!$E$15="","",Parameters!$E$15)</f>
        <v>°C</v>
      </c>
      <c r="F20" s="19" t="str">
        <f aca="false">IF(Parameters!$F$15="Check","OK / Not OK",TRIM(IF(Parameters!$I$15&lt;&gt;"","act &lt;"&amp;Parameters!$I$15&amp;"  ","")&amp;IF(Parameters!$J$15&lt;&gt;"","watch &lt;"&amp;Parameters!$J$15&amp;"  ","")&amp;IF(Parameters!$K$15&lt;&gt;"","watch &gt;"&amp;Parameters!$K$15&amp;"  ","")&amp;IF(Parameters!$L$15&lt;&gt;"","act &gt;"&amp;Parameters!$L$15,"")))</f>
        <v>act &lt;-8 watch &lt;-5 watch &gt;5 act &gt;8</v>
      </c>
      <c r="G20" s="20" t="n">
        <f aca="false">IF(Parameters!$H$15="","",Parameters!$H$15)</f>
        <v>0</v>
      </c>
      <c r="H20" s="21"/>
      <c r="I20" s="21"/>
      <c r="J20" s="22" t="str">
        <f aca="false">IF(OR(H20="",I20="",Parameters!$F$15="Check"),"",H20-I20)</f>
        <v/>
      </c>
      <c r="K20" s="22" t="str">
        <f aca="false">IF(OR(H20="",G20="",Parameters!$F$15="Check"),"",IF(G20=0,H20-G20,(H20-G20)/ABS(G20)))</f>
        <v/>
      </c>
      <c r="L20" s="24" t="str">
        <f aca="false">IF(LEFT(N20,2)="No","N/A",IF(H20="","",IF(Parameters!$F$15="Check",IF(H20="OK","OK","ACT"),IF(OR(AND(Parameters!$I$15&lt;&gt;"",H20&lt;Parameters!$I$15),AND(Parameters!$L$15&lt;&gt;"",H20&gt;Parameters!$L$15)),"ACT",IF(OR(AND(Parameters!$J$15&lt;&gt;"",H20&lt;Parameters!$J$15),AND(Parameters!$K$15&lt;&gt;"",H20&gt;Parameters!$K$15)),"WATCH","OK")))))</f>
        <v/>
      </c>
      <c r="M20" s="12"/>
      <c r="N20" s="19" t="str">
        <f aca="false">IF(Parameters!$G$15="All","Yes",IF($C$5="","Yes",IF(ISNUMBER(SEARCH($C$5,Parameters!$G$15)),"Yes","No – N/A for "&amp;$C$5)))</f>
        <v>Yes</v>
      </c>
    </row>
    <row r="21" customFormat="false" ht="30" hidden="false" customHeight="true" outlineLevel="0" collapsed="false">
      <c r="A21" s="16" t="n">
        <f aca="false">Parameters!$A$16</f>
        <v>12</v>
      </c>
      <c r="B21" s="17" t="str">
        <f aca="false">Parameters!$B$16</f>
        <v>Refractory</v>
      </c>
      <c r="C21" s="17" t="str">
        <f aca="false">Parameters!$C$16</f>
        <v>Furnace shell hottest spot (IR scan of walls, roof, doors)</v>
      </c>
      <c r="D21" s="18" t="str">
        <f aca="false">Parameters!$D$16</f>
        <v>IR thermometer / camera, same route daily</v>
      </c>
      <c r="E21" s="16" t="str">
        <f aca="false">IF(Parameters!$E$16="","",Parameters!$E$16)</f>
        <v>°C</v>
      </c>
      <c r="F21" s="19" t="str">
        <f aca="false">IF(Parameters!$F$16="Check","OK / Not OK",TRIM(IF(Parameters!$I$16&lt;&gt;"","act &lt;"&amp;Parameters!$I$16&amp;"  ","")&amp;IF(Parameters!$J$16&lt;&gt;"","watch &lt;"&amp;Parameters!$J$16&amp;"  ","")&amp;IF(Parameters!$K$16&lt;&gt;"","watch &gt;"&amp;Parameters!$K$16&amp;"  ","")&amp;IF(Parameters!$L$16&lt;&gt;"","act &gt;"&amp;Parameters!$L$16,"")))</f>
        <v>watch &gt;100 act &gt;120</v>
      </c>
      <c r="G21" s="20" t="n">
        <f aca="false">IF(Parameters!$H$16="","",Parameters!$H$16)</f>
        <v>70</v>
      </c>
      <c r="H21" s="21"/>
      <c r="I21" s="21"/>
      <c r="J21" s="22" t="str">
        <f aca="false">IF(OR(H21="",I21="",Parameters!$F$16="Check"),"",H21-I21)</f>
        <v/>
      </c>
      <c r="K21" s="23" t="str">
        <f aca="false">IF(OR(H21="",G21="",Parameters!$F$16="Check"),"",IF(G21=0,H21-G21,(H21-G21)/ABS(G21)))</f>
        <v/>
      </c>
      <c r="L21" s="24" t="str">
        <f aca="false">IF(LEFT(N21,2)="No","N/A",IF(H21="","",IF(Parameters!$F$16="Check",IF(H21="OK","OK","ACT"),IF(OR(AND(Parameters!$I$16&lt;&gt;"",H21&lt;Parameters!$I$16),AND(Parameters!$L$16&lt;&gt;"",H21&gt;Parameters!$L$16)),"ACT",IF(OR(AND(Parameters!$J$16&lt;&gt;"",H21&lt;Parameters!$J$16),AND(Parameters!$K$16&lt;&gt;"",H21&gt;Parameters!$K$16)),"WATCH","OK")))))</f>
        <v/>
      </c>
      <c r="M21" s="12"/>
      <c r="N21" s="19" t="str">
        <f aca="false">IF(Parameters!$G$16="All","Yes",IF($C$5="","Yes",IF(ISNUMBER(SEARCH($C$5,Parameters!$G$16)),"Yes","No – N/A for "&amp;$C$5)))</f>
        <v>Yes</v>
      </c>
    </row>
    <row r="22" customFormat="false" ht="30" hidden="false" customHeight="true" outlineLevel="0" collapsed="false">
      <c r="A22" s="16" t="n">
        <f aca="false">Parameters!$A$17</f>
        <v>13</v>
      </c>
      <c r="B22" s="17" t="str">
        <f aca="false">Parameters!$B$17</f>
        <v>Refractory</v>
      </c>
      <c r="C22" s="17" t="str">
        <f aca="false">Parameters!$C$17</f>
        <v>Door seals and flame curtains intact, no flame out of doors</v>
      </c>
      <c r="D22" s="18" t="str">
        <f aca="false">Parameters!$D$17</f>
        <v>Visual</v>
      </c>
      <c r="E22" s="16" t="str">
        <f aca="false">IF(Parameters!$E$17="","",Parameters!$E$17)</f>
        <v/>
      </c>
      <c r="F22" s="19" t="str">
        <f aca="false">IF(Parameters!$F$17="Check","OK / Not OK",TRIM(IF(Parameters!$I$17&lt;&gt;"","act &lt;"&amp;Parameters!$I$17&amp;"  ","")&amp;IF(Parameters!$J$17&lt;&gt;"","watch &lt;"&amp;Parameters!$J$17&amp;"  ","")&amp;IF(Parameters!$K$17&lt;&gt;"","watch &gt;"&amp;Parameters!$K$17&amp;"  ","")&amp;IF(Parameters!$L$17&lt;&gt;"","act &gt;"&amp;Parameters!$L$17,"")))</f>
        <v>OK / Not OK</v>
      </c>
      <c r="G22" s="20" t="str">
        <f aca="false">IF(Parameters!$H$17="","",Parameters!$H$17)</f>
        <v/>
      </c>
      <c r="H22" s="21"/>
      <c r="I22" s="21"/>
      <c r="J22" s="22" t="str">
        <f aca="false">IF(OR(H22="",I22="",Parameters!$F$17="Check"),"",H22-I22)</f>
        <v/>
      </c>
      <c r="K22" s="23" t="str">
        <f aca="false">IF(OR(H22="",G22="",Parameters!$F$17="Check"),"",IF(G22=0,H22-G22,(H22-G22)/ABS(G22)))</f>
        <v/>
      </c>
      <c r="L22" s="24" t="str">
        <f aca="false">IF(LEFT(N22,2)="No","N/A",IF(H22="","",IF(Parameters!$F$17="Check",IF(H22="OK","OK","ACT"),IF(OR(AND(Parameters!$I$17&lt;&gt;"",H22&lt;Parameters!$I$17),AND(Parameters!$L$17&lt;&gt;"",H22&gt;Parameters!$L$17)),"ACT",IF(OR(AND(Parameters!$J$17&lt;&gt;"",H22&lt;Parameters!$J$17),AND(Parameters!$K$17&lt;&gt;"",H22&gt;Parameters!$K$17)),"WATCH","OK")))))</f>
        <v/>
      </c>
      <c r="M22" s="12"/>
      <c r="N22" s="19" t="str">
        <f aca="false">IF(Parameters!$G$17="All","Yes",IF($C$5="","Yes",IF(ISNUMBER(SEARCH($C$5,Parameters!$G$17)),"Yes","No – N/A for "&amp;$C$5)))</f>
        <v>Yes</v>
      </c>
    </row>
    <row r="23" customFormat="false" ht="30" hidden="false" customHeight="true" outlineLevel="0" collapsed="false">
      <c r="A23" s="16" t="n">
        <f aca="false">Parameters!$A$18</f>
        <v>14</v>
      </c>
      <c r="B23" s="17" t="str">
        <f aca="false">Parameters!$B$18</f>
        <v>Pusher</v>
      </c>
      <c r="C23" s="17" t="str">
        <f aca="false">Parameters!$C$18</f>
        <v>Pusher hydraulic pressure during the push</v>
      </c>
      <c r="D23" s="18" t="str">
        <f aca="false">Parameters!$D$18</f>
        <v>Hydraulic gauge at mid-stroke</v>
      </c>
      <c r="E23" s="16" t="str">
        <f aca="false">IF(Parameters!$E$18="","",Parameters!$E$18)</f>
        <v>bar</v>
      </c>
      <c r="F23" s="19" t="str">
        <f aca="false">IF(Parameters!$F$18="Check","OK / Not OK",TRIM(IF(Parameters!$I$18&lt;&gt;"","act &lt;"&amp;Parameters!$I$18&amp;"  ","")&amp;IF(Parameters!$J$18&lt;&gt;"","watch &lt;"&amp;Parameters!$J$18&amp;"  ","")&amp;IF(Parameters!$K$18&lt;&gt;"","watch &gt;"&amp;Parameters!$K$18&amp;"  ","")&amp;IF(Parameters!$L$18&lt;&gt;"","act &gt;"&amp;Parameters!$L$18,"")))</f>
        <v>watch &gt;110 act &gt;130</v>
      </c>
      <c r="G23" s="20" t="n">
        <f aca="false">IF(Parameters!$H$18="","",Parameters!$H$18)</f>
        <v>80</v>
      </c>
      <c r="H23" s="21"/>
      <c r="I23" s="21"/>
      <c r="J23" s="22" t="str">
        <f aca="false">IF(OR(H23="",I23="",Parameters!$F$18="Check"),"",H23-I23)</f>
        <v/>
      </c>
      <c r="K23" s="23" t="str">
        <f aca="false">IF(OR(H23="",G23="",Parameters!$F$18="Check"),"",IF(G23=0,H23-G23,(H23-G23)/ABS(G23)))</f>
        <v/>
      </c>
      <c r="L23" s="24" t="str">
        <f aca="false">IF(LEFT(N23,2)="No","N/A",IF(H23="","",IF(Parameters!$F$18="Check",IF(H23="OK","OK","ACT"),IF(OR(AND(Parameters!$I$18&lt;&gt;"",H23&lt;Parameters!$I$18),AND(Parameters!$L$18&lt;&gt;"",H23&gt;Parameters!$L$18)),"ACT",IF(OR(AND(Parameters!$J$18&lt;&gt;"",H23&lt;Parameters!$J$18),AND(Parameters!$K$18&lt;&gt;"",H23&gt;Parameters!$K$18)),"WATCH","OK")))))</f>
        <v/>
      </c>
      <c r="M23" s="12"/>
      <c r="N23" s="19" t="str">
        <f aca="false">IF(Parameters!$G$18="All","Yes",IF($C$5="","Yes",IF(ISNUMBER(SEARCH($C$5,Parameters!$G$18)),"Yes","No – N/A for "&amp;$C$5)))</f>
        <v>Yes</v>
      </c>
    </row>
    <row r="24" customFormat="false" ht="30" hidden="false" customHeight="true" outlineLevel="0" collapsed="false">
      <c r="A24" s="16" t="n">
        <f aca="false">Parameters!$A$19</f>
        <v>15</v>
      </c>
      <c r="B24" s="17" t="str">
        <f aca="false">Parameters!$B$19</f>
        <v>Pusher</v>
      </c>
      <c r="C24" s="17" t="str">
        <f aca="false">Parameters!$C$19</f>
        <v>Push stroke time (one full push)</v>
      </c>
      <c r="D24" s="18" t="str">
        <f aca="false">Parameters!$D$19</f>
        <v>Stopwatch / PLC</v>
      </c>
      <c r="E24" s="16" t="str">
        <f aca="false">IF(Parameters!$E$19="","",Parameters!$E$19)</f>
        <v>s</v>
      </c>
      <c r="F24" s="19" t="str">
        <f aca="false">IF(Parameters!$F$19="Check","OK / Not OK",TRIM(IF(Parameters!$I$19&lt;&gt;"","act &lt;"&amp;Parameters!$I$19&amp;"  ","")&amp;IF(Parameters!$J$19&lt;&gt;"","watch &lt;"&amp;Parameters!$J$19&amp;"  ","")&amp;IF(Parameters!$K$19&lt;&gt;"","watch &gt;"&amp;Parameters!$K$19&amp;"  ","")&amp;IF(Parameters!$L$19&lt;&gt;"","act &gt;"&amp;Parameters!$L$19,"")))</f>
        <v>watch &gt;36 act &gt;40</v>
      </c>
      <c r="G24" s="20" t="n">
        <f aca="false">IF(Parameters!$H$19="","",Parameters!$H$19)</f>
        <v>30</v>
      </c>
      <c r="H24" s="21"/>
      <c r="I24" s="21"/>
      <c r="J24" s="22" t="str">
        <f aca="false">IF(OR(H24="",I24="",Parameters!$F$19="Check"),"",H24-I24)</f>
        <v/>
      </c>
      <c r="K24" s="23" t="str">
        <f aca="false">IF(OR(H24="",G24="",Parameters!$F$19="Check"),"",IF(G24=0,H24-G24,(H24-G24)/ABS(G24)))</f>
        <v/>
      </c>
      <c r="L24" s="24" t="str">
        <f aca="false">IF(LEFT(N24,2)="No","N/A",IF(H24="","",IF(Parameters!$F$19="Check",IF(H24="OK","OK","ACT"),IF(OR(AND(Parameters!$I$19&lt;&gt;"",H24&lt;Parameters!$I$19),AND(Parameters!$L$19&lt;&gt;"",H24&gt;Parameters!$L$19)),"ACT",IF(OR(AND(Parameters!$J$19&lt;&gt;"",H24&lt;Parameters!$J$19),AND(Parameters!$K$19&lt;&gt;"",H24&gt;Parameters!$K$19)),"WATCH","OK")))))</f>
        <v/>
      </c>
      <c r="M24" s="12"/>
      <c r="N24" s="19" t="str">
        <f aca="false">IF(Parameters!$G$19="All","Yes",IF($C$5="","Yes",IF(ISNUMBER(SEARCH($C$5,Parameters!$G$19)),"Yes","No – N/A for "&amp;$C$5)))</f>
        <v>Yes</v>
      </c>
    </row>
    <row r="25" customFormat="false" ht="30" hidden="false" customHeight="true" outlineLevel="0" collapsed="false">
      <c r="A25" s="16" t="n">
        <f aca="false">Parameters!$A$20</f>
        <v>16</v>
      </c>
      <c r="B25" s="17" t="str">
        <f aca="false">Parameters!$B$20</f>
        <v>Pusher</v>
      </c>
      <c r="C25" s="17" t="str">
        <f aca="false">Parameters!$C$20</f>
        <v>Hydraulic oil temperature</v>
      </c>
      <c r="D25" s="18" t="str">
        <f aca="false">Parameters!$D$20</f>
        <v>Tank thermometer</v>
      </c>
      <c r="E25" s="16" t="str">
        <f aca="false">IF(Parameters!$E$20="","",Parameters!$E$20)</f>
        <v>°C</v>
      </c>
      <c r="F25" s="19" t="str">
        <f aca="false">IF(Parameters!$F$20="Check","OK / Not OK",TRIM(IF(Parameters!$I$20&lt;&gt;"","act &lt;"&amp;Parameters!$I$20&amp;"  ","")&amp;IF(Parameters!$J$20&lt;&gt;"","watch &lt;"&amp;Parameters!$J$20&amp;"  ","")&amp;IF(Parameters!$K$20&lt;&gt;"","watch &gt;"&amp;Parameters!$K$20&amp;"  ","")&amp;IF(Parameters!$L$20&lt;&gt;"","act &gt;"&amp;Parameters!$L$20,"")))</f>
        <v>watch &gt;55 act &gt;60</v>
      </c>
      <c r="G25" s="20" t="n">
        <f aca="false">IF(Parameters!$H$20="","",Parameters!$H$20)</f>
        <v>45</v>
      </c>
      <c r="H25" s="21"/>
      <c r="I25" s="21"/>
      <c r="J25" s="22" t="str">
        <f aca="false">IF(OR(H25="",I25="",Parameters!$F$20="Check"),"",H25-I25)</f>
        <v/>
      </c>
      <c r="K25" s="23" t="str">
        <f aca="false">IF(OR(H25="",G25="",Parameters!$F$20="Check"),"",IF(G25=0,H25-G25,(H25-G25)/ABS(G25)))</f>
        <v/>
      </c>
      <c r="L25" s="24" t="str">
        <f aca="false">IF(LEFT(N25,2)="No","N/A",IF(H25="","",IF(Parameters!$F$20="Check",IF(H25="OK","OK","ACT"),IF(OR(AND(Parameters!$I$20&lt;&gt;"",H25&lt;Parameters!$I$20),AND(Parameters!$L$20&lt;&gt;"",H25&gt;Parameters!$L$20)),"ACT",IF(OR(AND(Parameters!$J$20&lt;&gt;"",H25&lt;Parameters!$J$20),AND(Parameters!$K$20&lt;&gt;"",H25&gt;Parameters!$K$20)),"WATCH","OK")))))</f>
        <v/>
      </c>
      <c r="M25" s="12"/>
      <c r="N25" s="19" t="str">
        <f aca="false">IF(Parameters!$G$20="All","Yes",IF($C$5="","Yes",IF(ISNUMBER(SEARCH($C$5,Parameters!$G$20)),"Yes","No – N/A for "&amp;$C$5)))</f>
        <v>Yes</v>
      </c>
    </row>
    <row r="26" customFormat="false" ht="30" hidden="false" customHeight="true" outlineLevel="0" collapsed="false">
      <c r="A26" s="16" t="n">
        <f aca="false">Parameters!$A$21</f>
        <v>17</v>
      </c>
      <c r="B26" s="17" t="str">
        <f aca="false">Parameters!$B$21</f>
        <v>Pusher</v>
      </c>
      <c r="C26" s="17" t="str">
        <f aca="false">Parameters!$C$21</f>
        <v>Hydraulic oil level and no leaks</v>
      </c>
      <c r="D26" s="18" t="str">
        <f aca="false">Parameters!$D$21</f>
        <v>Sight glass / visual</v>
      </c>
      <c r="E26" s="16" t="str">
        <f aca="false">IF(Parameters!$E$21="","",Parameters!$E$21)</f>
        <v/>
      </c>
      <c r="F26" s="19" t="str">
        <f aca="false">IF(Parameters!$F$21="Check","OK / Not OK",TRIM(IF(Parameters!$I$21&lt;&gt;"","act &lt;"&amp;Parameters!$I$21&amp;"  ","")&amp;IF(Parameters!$J$21&lt;&gt;"","watch &lt;"&amp;Parameters!$J$21&amp;"  ","")&amp;IF(Parameters!$K$21&lt;&gt;"","watch &gt;"&amp;Parameters!$K$21&amp;"  ","")&amp;IF(Parameters!$L$21&lt;&gt;"","act &gt;"&amp;Parameters!$L$21,"")))</f>
        <v>OK / Not OK</v>
      </c>
      <c r="G26" s="20" t="str">
        <f aca="false">IF(Parameters!$H$21="","",Parameters!$H$21)</f>
        <v/>
      </c>
      <c r="H26" s="21"/>
      <c r="I26" s="21"/>
      <c r="J26" s="22" t="str">
        <f aca="false">IF(OR(H26="",I26="",Parameters!$F$21="Check"),"",H26-I26)</f>
        <v/>
      </c>
      <c r="K26" s="23" t="str">
        <f aca="false">IF(OR(H26="",G26="",Parameters!$F$21="Check"),"",IF(G26=0,H26-G26,(H26-G26)/ABS(G26)))</f>
        <v/>
      </c>
      <c r="L26" s="24" t="str">
        <f aca="false">IF(LEFT(N26,2)="No","N/A",IF(H26="","",IF(Parameters!$F$21="Check",IF(H26="OK","OK","ACT"),IF(OR(AND(Parameters!$I$21&lt;&gt;"",H26&lt;Parameters!$I$21),AND(Parameters!$L$21&lt;&gt;"",H26&gt;Parameters!$L$21)),"ACT",IF(OR(AND(Parameters!$J$21&lt;&gt;"",H26&lt;Parameters!$J$21),AND(Parameters!$K$21&lt;&gt;"",H26&gt;Parameters!$K$21)),"WATCH","OK")))))</f>
        <v/>
      </c>
      <c r="M26" s="12"/>
      <c r="N26" s="19" t="str">
        <f aca="false">IF(Parameters!$G$21="All","Yes",IF($C$5="","Yes",IF(ISNUMBER(SEARCH($C$5,Parameters!$G$21)),"Yes","No – N/A for "&amp;$C$5)))</f>
        <v>Yes</v>
      </c>
    </row>
    <row r="27" customFormat="false" ht="30" hidden="false" customHeight="true" outlineLevel="0" collapsed="false">
      <c r="A27" s="16" t="n">
        <f aca="false">Parameters!$A$22</f>
        <v>18</v>
      </c>
      <c r="B27" s="17" t="str">
        <f aca="false">Parameters!$B$22</f>
        <v>Transfer</v>
      </c>
      <c r="C27" s="17" t="str">
        <f aca="false">Parameters!$C$22</f>
        <v>Extractor / rail transfer drive motor current</v>
      </c>
      <c r="D27" s="18" t="str">
        <f aca="false">Parameters!$D$22</f>
        <v>Clamp meter or panel ammeter (% of rated)</v>
      </c>
      <c r="E27" s="16" t="str">
        <f aca="false">IF(Parameters!$E$22="","",Parameters!$E$22)</f>
        <v>% FLA</v>
      </c>
      <c r="F27" s="19" t="str">
        <f aca="false">IF(Parameters!$F$22="Check","OK / Not OK",TRIM(IF(Parameters!$I$22&lt;&gt;"","act &lt;"&amp;Parameters!$I$22&amp;"  ","")&amp;IF(Parameters!$J$22&lt;&gt;"","watch &lt;"&amp;Parameters!$J$22&amp;"  ","")&amp;IF(Parameters!$K$22&lt;&gt;"","watch &gt;"&amp;Parameters!$K$22&amp;"  ","")&amp;IF(Parameters!$L$22&lt;&gt;"","act &gt;"&amp;Parameters!$L$22,"")))</f>
        <v>watch &gt;80 act &gt;90</v>
      </c>
      <c r="G27" s="20" t="n">
        <f aca="false">IF(Parameters!$H$22="","",Parameters!$H$22)</f>
        <v>60</v>
      </c>
      <c r="H27" s="21"/>
      <c r="I27" s="21"/>
      <c r="J27" s="22" t="str">
        <f aca="false">IF(OR(H27="",I27="",Parameters!$F$22="Check"),"",H27-I27)</f>
        <v/>
      </c>
      <c r="K27" s="23" t="str">
        <f aca="false">IF(OR(H27="",G27="",Parameters!$F$22="Check"),"",IF(G27=0,H27-G27,(H27-G27)/ABS(G27)))</f>
        <v/>
      </c>
      <c r="L27" s="24" t="str">
        <f aca="false">IF(LEFT(N27,2)="No","N/A",IF(H27="","",IF(Parameters!$F$22="Check",IF(H27="OK","OK","ACT"),IF(OR(AND(Parameters!$I$22&lt;&gt;"",H27&lt;Parameters!$I$22),AND(Parameters!$L$22&lt;&gt;"",H27&gt;Parameters!$L$22)),"ACT",IF(OR(AND(Parameters!$J$22&lt;&gt;"",H27&lt;Parameters!$J$22),AND(Parameters!$K$22&lt;&gt;"",H27&gt;Parameters!$K$22)),"WATCH","OK")))))</f>
        <v/>
      </c>
      <c r="M27" s="12"/>
      <c r="N27" s="19" t="str">
        <f aca="false">IF(Parameters!$G$22="All","Yes",IF($C$5="","Yes",IF(ISNUMBER(SEARCH($C$5,Parameters!$G$22)),"Yes","No – N/A for "&amp;$C$5)))</f>
        <v>Yes</v>
      </c>
    </row>
    <row r="28" customFormat="false" ht="30" hidden="false" customHeight="true" outlineLevel="0" collapsed="false">
      <c r="A28" s="16" t="n">
        <f aca="false">Parameters!$A$23</f>
        <v>19</v>
      </c>
      <c r="B28" s="17" t="str">
        <f aca="false">Parameters!$B$23</f>
        <v>Transfer</v>
      </c>
      <c r="C28" s="17" t="str">
        <f aca="false">Parameters!$C$23</f>
        <v>Chains, rails and rollers: lubricated, no abnormal noise</v>
      </c>
      <c r="D28" s="18" t="str">
        <f aca="false">Parameters!$D$23</f>
        <v>Visual / listen</v>
      </c>
      <c r="E28" s="16" t="str">
        <f aca="false">IF(Parameters!$E$23="","",Parameters!$E$23)</f>
        <v/>
      </c>
      <c r="F28" s="19" t="str">
        <f aca="false">IF(Parameters!$F$23="Check","OK / Not OK",TRIM(IF(Parameters!$I$23&lt;&gt;"","act &lt;"&amp;Parameters!$I$23&amp;"  ","")&amp;IF(Parameters!$J$23&lt;&gt;"","watch &lt;"&amp;Parameters!$J$23&amp;"  ","")&amp;IF(Parameters!$K$23&lt;&gt;"","watch &gt;"&amp;Parameters!$K$23&amp;"  ","")&amp;IF(Parameters!$L$23&lt;&gt;"","act &gt;"&amp;Parameters!$L$23,"")))</f>
        <v>OK / Not OK</v>
      </c>
      <c r="G28" s="20" t="str">
        <f aca="false">IF(Parameters!$H$23="","",Parameters!$H$23)</f>
        <v/>
      </c>
      <c r="H28" s="21"/>
      <c r="I28" s="21"/>
      <c r="J28" s="22" t="str">
        <f aca="false">IF(OR(H28="",I28="",Parameters!$F$23="Check"),"",H28-I28)</f>
        <v/>
      </c>
      <c r="K28" s="23" t="str">
        <f aca="false">IF(OR(H28="",G28="",Parameters!$F$23="Check"),"",IF(G28=0,H28-G28,(H28-G28)/ABS(G28)))</f>
        <v/>
      </c>
      <c r="L28" s="24" t="str">
        <f aca="false">IF(LEFT(N28,2)="No","N/A",IF(H28="","",IF(Parameters!$F$23="Check",IF(H28="OK","OK","ACT"),IF(OR(AND(Parameters!$I$23&lt;&gt;"",H28&lt;Parameters!$I$23),AND(Parameters!$L$23&lt;&gt;"",H28&gt;Parameters!$L$23)),"ACT",IF(OR(AND(Parameters!$J$23&lt;&gt;"",H28&lt;Parameters!$J$23),AND(Parameters!$K$23&lt;&gt;"",H28&gt;Parameters!$K$23)),"WATCH","OK")))))</f>
        <v/>
      </c>
      <c r="M28" s="12"/>
      <c r="N28" s="19" t="str">
        <f aca="false">IF(Parameters!$G$23="All","Yes",IF($C$5="","Yes",IF(ISNUMBER(SEARCH($C$5,Parameters!$G$23)),"Yes","No – N/A for "&amp;$C$5)))</f>
        <v>Yes</v>
      </c>
    </row>
    <row r="29" customFormat="false" ht="30" hidden="false" customHeight="true" outlineLevel="0" collapsed="false">
      <c r="A29" s="16" t="n">
        <f aca="false">Parameters!$A$24</f>
        <v>20</v>
      </c>
      <c r="B29" s="17" t="str">
        <f aca="false">Parameters!$B$24</f>
        <v>Controlled cooling</v>
      </c>
      <c r="C29" s="17" t="str">
        <f aca="false">Parameters!$C$24</f>
        <v>Cooling chamber blower motor current</v>
      </c>
      <c r="D29" s="18" t="str">
        <f aca="false">Parameters!$D$24</f>
        <v>Clamp meter or panel ammeter (% of rated)</v>
      </c>
      <c r="E29" s="16" t="str">
        <f aca="false">IF(Parameters!$E$24="","",Parameters!$E$24)</f>
        <v>% FLA</v>
      </c>
      <c r="F29" s="19" t="str">
        <f aca="false">IF(Parameters!$F$24="Check","OK / Not OK",TRIM(IF(Parameters!$I$24&lt;&gt;"","act &lt;"&amp;Parameters!$I$24&amp;"  ","")&amp;IF(Parameters!$J$24&lt;&gt;"","watch &lt;"&amp;Parameters!$J$24&amp;"  ","")&amp;IF(Parameters!$K$24&lt;&gt;"","watch &gt;"&amp;Parameters!$K$24&amp;"  ","")&amp;IF(Parameters!$L$24&lt;&gt;"","act &gt;"&amp;Parameters!$L$24,"")))</f>
        <v>act &lt;45 watch &lt;55 watch &gt;85 act &gt;95</v>
      </c>
      <c r="G29" s="20" t="n">
        <f aca="false">IF(Parameters!$H$24="","",Parameters!$H$24)</f>
        <v>70</v>
      </c>
      <c r="H29" s="21"/>
      <c r="I29" s="21"/>
      <c r="J29" s="22" t="str">
        <f aca="false">IF(OR(H29="",I29="",Parameters!$F$24="Check"),"",H29-I29)</f>
        <v/>
      </c>
      <c r="K29" s="23" t="str">
        <f aca="false">IF(OR(H29="",G29="",Parameters!$F$24="Check"),"",IF(G29=0,H29-G29,(H29-G29)/ABS(G29)))</f>
        <v/>
      </c>
      <c r="L29" s="24" t="str">
        <f aca="false">IF(LEFT(N29,2)="No","N/A",IF(H29="","",IF(Parameters!$F$24="Check",IF(H29="OK","OK","ACT"),IF(OR(AND(Parameters!$I$24&lt;&gt;"",H29&lt;Parameters!$I$24),AND(Parameters!$L$24&lt;&gt;"",H29&gt;Parameters!$L$24)),"ACT",IF(OR(AND(Parameters!$J$24&lt;&gt;"",H29&lt;Parameters!$J$24),AND(Parameters!$K$24&lt;&gt;"",H29&gt;Parameters!$K$24)),"WATCH","OK")))))</f>
        <v/>
      </c>
      <c r="M29" s="12"/>
      <c r="N29" s="19" t="str">
        <f aca="false">IF(Parameters!$G$24="All","Yes",IF($C$5="","Yes",IF(ISNUMBER(SEARCH($C$5,Parameters!$G$24)),"Yes","No – N/A for "&amp;$C$5)))</f>
        <v>Yes</v>
      </c>
    </row>
    <row r="30" customFormat="false" ht="30" hidden="false" customHeight="true" outlineLevel="0" collapsed="false">
      <c r="A30" s="16" t="n">
        <f aca="false">Parameters!$A$25</f>
        <v>21</v>
      </c>
      <c r="B30" s="17" t="str">
        <f aca="false">Parameters!$B$25</f>
        <v>Controlled cooling</v>
      </c>
      <c r="C30" s="17" t="str">
        <f aca="false">Parameters!$C$25</f>
        <v>Cooling chamber blower bearing vibration</v>
      </c>
      <c r="D30" s="18" t="str">
        <f aca="false">Parameters!$D$25</f>
        <v>Handheld vibration meter, velocity RMS</v>
      </c>
      <c r="E30" s="16" t="str">
        <f aca="false">IF(Parameters!$E$25="","",Parameters!$E$25)</f>
        <v>mm/s</v>
      </c>
      <c r="F30" s="19" t="str">
        <f aca="false">IF(Parameters!$F$25="Check","OK / Not OK",TRIM(IF(Parameters!$I$25&lt;&gt;"","act &lt;"&amp;Parameters!$I$25&amp;"  ","")&amp;IF(Parameters!$J$25&lt;&gt;"","watch &lt;"&amp;Parameters!$J$25&amp;"  ","")&amp;IF(Parameters!$K$25&lt;&gt;"","watch &gt;"&amp;Parameters!$K$25&amp;"  ","")&amp;IF(Parameters!$L$25&lt;&gt;"","act &gt;"&amp;Parameters!$L$25,"")))</f>
        <v>watch &gt;2.8 act &gt;4.5</v>
      </c>
      <c r="G30" s="20" t="n">
        <f aca="false">IF(Parameters!$H$25="","",Parameters!$H$25)</f>
        <v>1.5</v>
      </c>
      <c r="H30" s="21"/>
      <c r="I30" s="21"/>
      <c r="J30" s="22" t="str">
        <f aca="false">IF(OR(H30="",I30="",Parameters!$F$25="Check"),"",H30-I30)</f>
        <v/>
      </c>
      <c r="K30" s="23" t="str">
        <f aca="false">IF(OR(H30="",G30="",Parameters!$F$25="Check"),"",IF(G30=0,H30-G30,(H30-G30)/ABS(G30)))</f>
        <v/>
      </c>
      <c r="L30" s="24" t="str">
        <f aca="false">IF(LEFT(N30,2)="No","N/A",IF(H30="","",IF(Parameters!$F$25="Check",IF(H30="OK","OK","ACT"),IF(OR(AND(Parameters!$I$25&lt;&gt;"",H30&lt;Parameters!$I$25),AND(Parameters!$L$25&lt;&gt;"",H30&gt;Parameters!$L$25)),"ACT",IF(OR(AND(Parameters!$J$25&lt;&gt;"",H30&lt;Parameters!$J$25),AND(Parameters!$K$25&lt;&gt;"",H30&gt;Parameters!$K$25)),"WATCH","OK")))))</f>
        <v/>
      </c>
      <c r="M30" s="12"/>
      <c r="N30" s="19" t="str">
        <f aca="false">IF(Parameters!$G$25="All","Yes",IF($C$5="","Yes",IF(ISNUMBER(SEARCH($C$5,Parameters!$G$25)),"Yes","No – N/A for "&amp;$C$5)))</f>
        <v>Yes</v>
      </c>
    </row>
    <row r="31" customFormat="false" ht="30" hidden="false" customHeight="true" outlineLevel="0" collapsed="false">
      <c r="A31" s="16" t="n">
        <f aca="false">Parameters!$A$26</f>
        <v>22</v>
      </c>
      <c r="B31" s="17" t="str">
        <f aca="false">Parameters!$B$26</f>
        <v>Quench</v>
      </c>
      <c r="C31" s="17" t="str">
        <f aca="false">Parameters!$C$26</f>
        <v>Water quench tank temperature at the start of the shift</v>
      </c>
      <c r="D31" s="18" t="str">
        <f aca="false">Parameters!$D$26</f>
        <v>Tank indicator / thermometer</v>
      </c>
      <c r="E31" s="16" t="str">
        <f aca="false">IF(Parameters!$E$26="","",Parameters!$E$26)</f>
        <v>°C</v>
      </c>
      <c r="F31" s="19" t="str">
        <f aca="false">IF(Parameters!$F$26="Check","OK / Not OK",TRIM(IF(Parameters!$I$26&lt;&gt;"","act &lt;"&amp;Parameters!$I$26&amp;"  ","")&amp;IF(Parameters!$J$26&lt;&gt;"","watch &lt;"&amp;Parameters!$J$26&amp;"  ","")&amp;IF(Parameters!$K$26&lt;&gt;"","watch &gt;"&amp;Parameters!$K$26&amp;"  ","")&amp;IF(Parameters!$L$26&lt;&gt;"","act &gt;"&amp;Parameters!$L$26,"")))</f>
        <v>watch &gt;32 act &gt;35</v>
      </c>
      <c r="G31" s="20" t="n">
        <f aca="false">IF(Parameters!$H$26="","",Parameters!$H$26)</f>
        <v>28</v>
      </c>
      <c r="H31" s="21"/>
      <c r="I31" s="21"/>
      <c r="J31" s="22" t="str">
        <f aca="false">IF(OR(H31="",I31="",Parameters!$F$26="Check"),"",H31-I31)</f>
        <v/>
      </c>
      <c r="K31" s="23" t="str">
        <f aca="false">IF(OR(H31="",G31="",Parameters!$F$26="Check"),"",IF(G31=0,H31-G31,(H31-G31)/ABS(G31)))</f>
        <v/>
      </c>
      <c r="L31" s="24" t="str">
        <f aca="false">IF(LEFT(N31,2)="No","N/A",IF(H31="","",IF(Parameters!$F$26="Check",IF(H31="OK","OK","ACT"),IF(OR(AND(Parameters!$I$26&lt;&gt;"",H31&lt;Parameters!$I$26),AND(Parameters!$L$26&lt;&gt;"",H31&gt;Parameters!$L$26)),"ACT",IF(OR(AND(Parameters!$J$26&lt;&gt;"",H31&lt;Parameters!$J$26),AND(Parameters!$K$26&lt;&gt;"",H31&gt;Parameters!$K$26)),"WATCH","OK")))))</f>
        <v/>
      </c>
      <c r="M31" s="12"/>
      <c r="N31" s="19" t="str">
        <f aca="false">IF(Parameters!$G$26="All","Yes",IF($C$5="","Yes",IF(ISNUMBER(SEARCH($C$5,Parameters!$G$26)),"Yes","No – N/A for "&amp;$C$5)))</f>
        <v>Yes</v>
      </c>
    </row>
    <row r="32" customFormat="false" ht="30" hidden="false" customHeight="true" outlineLevel="0" collapsed="false">
      <c r="A32" s="16" t="n">
        <f aca="false">Parameters!$A$27</f>
        <v>23</v>
      </c>
      <c r="B32" s="17" t="str">
        <f aca="false">Parameters!$B$27</f>
        <v>Quench</v>
      </c>
      <c r="C32" s="17" t="str">
        <f aca="false">Parameters!$C$27</f>
        <v>Oil quench tank temperature at the start of the shift</v>
      </c>
      <c r="D32" s="18" t="str">
        <f aca="false">Parameters!$D$27</f>
        <v>Tank indicator / thermometer</v>
      </c>
      <c r="E32" s="16" t="str">
        <f aca="false">IF(Parameters!$E$27="","",Parameters!$E$27)</f>
        <v>°C</v>
      </c>
      <c r="F32" s="19" t="str">
        <f aca="false">IF(Parameters!$F$27="Check","OK / Not OK",TRIM(IF(Parameters!$I$27&lt;&gt;"","act &lt;"&amp;Parameters!$I$27&amp;"  ","")&amp;IF(Parameters!$J$27&lt;&gt;"","watch &lt;"&amp;Parameters!$J$27&amp;"  ","")&amp;IF(Parameters!$K$27&lt;&gt;"","watch &gt;"&amp;Parameters!$K$27&amp;"  ","")&amp;IF(Parameters!$L$27&lt;&gt;"","act &gt;"&amp;Parameters!$L$27,"")))</f>
        <v>act &lt;50 watch &lt;54 watch &gt;76 act &gt;80</v>
      </c>
      <c r="G32" s="20" t="n">
        <f aca="false">IF(Parameters!$H$27="","",Parameters!$H$27)</f>
        <v>62</v>
      </c>
      <c r="H32" s="21"/>
      <c r="I32" s="21"/>
      <c r="J32" s="22" t="str">
        <f aca="false">IF(OR(H32="",I32="",Parameters!$F$27="Check"),"",H32-I32)</f>
        <v/>
      </c>
      <c r="K32" s="23" t="str">
        <f aca="false">IF(OR(H32="",G32="",Parameters!$F$27="Check"),"",IF(G32=0,H32-G32,(H32-G32)/ABS(G32)))</f>
        <v/>
      </c>
      <c r="L32" s="24" t="str">
        <f aca="false">IF(LEFT(N32,2)="No","N/A",IF(H32="","",IF(Parameters!$F$27="Check",IF(H32="OK","OK","ACT"),IF(OR(AND(Parameters!$I$27&lt;&gt;"",H32&lt;Parameters!$I$27),AND(Parameters!$L$27&lt;&gt;"",H32&gt;Parameters!$L$27)),"ACT",IF(OR(AND(Parameters!$J$27&lt;&gt;"",H32&lt;Parameters!$J$27),AND(Parameters!$K$27&lt;&gt;"",H32&gt;Parameters!$K$27)),"WATCH","OK")))))</f>
        <v/>
      </c>
      <c r="M32" s="12"/>
      <c r="N32" s="19" t="str">
        <f aca="false">IF(Parameters!$G$27="All","Yes",IF($C$5="","Yes",IF(ISNUMBER(SEARCH($C$5,Parameters!$G$27)),"Yes","No – N/A for "&amp;$C$5)))</f>
        <v>Yes</v>
      </c>
    </row>
    <row r="33" customFormat="false" ht="30" hidden="false" customHeight="true" outlineLevel="0" collapsed="false">
      <c r="A33" s="16" t="n">
        <f aca="false">Parameters!$A$28</f>
        <v>24</v>
      </c>
      <c r="B33" s="17" t="str">
        <f aca="false">Parameters!$B$28</f>
        <v>Quench</v>
      </c>
      <c r="C33" s="17" t="str">
        <f aca="false">Parameters!$C$28</f>
        <v>Quench agitator motor current (agitation is not monitored: current is the indicator)</v>
      </c>
      <c r="D33" s="18" t="str">
        <f aca="false">Parameters!$D$28</f>
        <v>Clamp meter or panel ammeter (% of rated)</v>
      </c>
      <c r="E33" s="16" t="str">
        <f aca="false">IF(Parameters!$E$28="","",Parameters!$E$28)</f>
        <v>% FLA</v>
      </c>
      <c r="F33" s="19" t="str">
        <f aca="false">IF(Parameters!$F$28="Check","OK / Not OK",TRIM(IF(Parameters!$I$28&lt;&gt;"","act &lt;"&amp;Parameters!$I$28&amp;"  ","")&amp;IF(Parameters!$J$28&lt;&gt;"","watch &lt;"&amp;Parameters!$J$28&amp;"  ","")&amp;IF(Parameters!$K$28&lt;&gt;"","watch &gt;"&amp;Parameters!$K$28&amp;"  ","")&amp;IF(Parameters!$L$28&lt;&gt;"","act &gt;"&amp;Parameters!$L$28,"")))</f>
        <v>act &lt;45 watch &lt;55 watch &gt;90 act &gt;100</v>
      </c>
      <c r="G33" s="20" t="n">
        <f aca="false">IF(Parameters!$H$28="","",Parameters!$H$28)</f>
        <v>70</v>
      </c>
      <c r="H33" s="21"/>
      <c r="I33" s="21"/>
      <c r="J33" s="22" t="str">
        <f aca="false">IF(OR(H33="",I33="",Parameters!$F$28="Check"),"",H33-I33)</f>
        <v/>
      </c>
      <c r="K33" s="23" t="str">
        <f aca="false">IF(OR(H33="",G33="",Parameters!$F$28="Check"),"",IF(G33=0,H33-G33,(H33-G33)/ABS(G33)))</f>
        <v/>
      </c>
      <c r="L33" s="24" t="str">
        <f aca="false">IF(LEFT(N33,2)="No","N/A",IF(H33="","",IF(Parameters!$F$28="Check",IF(H33="OK","OK","ACT"),IF(OR(AND(Parameters!$I$28&lt;&gt;"",H33&lt;Parameters!$I$28),AND(Parameters!$L$28&lt;&gt;"",H33&gt;Parameters!$L$28)),"ACT",IF(OR(AND(Parameters!$J$28&lt;&gt;"",H33&lt;Parameters!$J$28),AND(Parameters!$K$28&lt;&gt;"",H33&gt;Parameters!$K$28)),"WATCH","OK")))))</f>
        <v/>
      </c>
      <c r="M33" s="12"/>
      <c r="N33" s="19" t="str">
        <f aca="false">IF(Parameters!$G$28="All","Yes",IF($C$5="","Yes",IF(ISNUMBER(SEARCH($C$5,Parameters!$G$28)),"Yes","No – N/A for "&amp;$C$5)))</f>
        <v>Yes</v>
      </c>
    </row>
    <row r="34" customFormat="false" ht="30" hidden="false" customHeight="true" outlineLevel="0" collapsed="false">
      <c r="A34" s="16" t="n">
        <f aca="false">Parameters!$A$29</f>
        <v>25</v>
      </c>
      <c r="B34" s="17" t="str">
        <f aca="false">Parameters!$B$29</f>
        <v>Quench</v>
      </c>
      <c r="C34" s="17" t="str">
        <f aca="false">Parameters!$C$29</f>
        <v>Oil cooler temperature drop (oil in − oil out)</v>
      </c>
      <c r="D34" s="18" t="str">
        <f aca="false">Parameters!$D$29</f>
        <v>Thermometers at the cooler</v>
      </c>
      <c r="E34" s="16" t="str">
        <f aca="false">IF(Parameters!$E$29="","",Parameters!$E$29)</f>
        <v>°C</v>
      </c>
      <c r="F34" s="19" t="str">
        <f aca="false">IF(Parameters!$F$29="Check","OK / Not OK",TRIM(IF(Parameters!$I$29&lt;&gt;"","act &lt;"&amp;Parameters!$I$29&amp;"  ","")&amp;IF(Parameters!$J$29&lt;&gt;"","watch &lt;"&amp;Parameters!$J$29&amp;"  ","")&amp;IF(Parameters!$K$29&lt;&gt;"","watch &gt;"&amp;Parameters!$K$29&amp;"  ","")&amp;IF(Parameters!$L$29&lt;&gt;"","act &gt;"&amp;Parameters!$L$29,"")))</f>
        <v>act &lt;3 watch &lt;5</v>
      </c>
      <c r="G34" s="20" t="n">
        <f aca="false">IF(Parameters!$H$29="","",Parameters!$H$29)</f>
        <v>8</v>
      </c>
      <c r="H34" s="21"/>
      <c r="I34" s="21"/>
      <c r="J34" s="22" t="str">
        <f aca="false">IF(OR(H34="",I34="",Parameters!$F$29="Check"),"",H34-I34)</f>
        <v/>
      </c>
      <c r="K34" s="23" t="str">
        <f aca="false">IF(OR(H34="",G34="",Parameters!$F$29="Check"),"",IF(G34=0,H34-G34,(H34-G34)/ABS(G34)))</f>
        <v/>
      </c>
      <c r="L34" s="24" t="str">
        <f aca="false">IF(LEFT(N34,2)="No","N/A",IF(H34="","",IF(Parameters!$F$29="Check",IF(H34="OK","OK","ACT"),IF(OR(AND(Parameters!$I$29&lt;&gt;"",H34&lt;Parameters!$I$29),AND(Parameters!$L$29&lt;&gt;"",H34&gt;Parameters!$L$29)),"ACT",IF(OR(AND(Parameters!$J$29&lt;&gt;"",H34&lt;Parameters!$J$29),AND(Parameters!$K$29&lt;&gt;"",H34&gt;Parameters!$K$29)),"WATCH","OK")))))</f>
        <v/>
      </c>
      <c r="M34" s="12"/>
      <c r="N34" s="19" t="str">
        <f aca="false">IF(Parameters!$G$29="All","Yes",IF($C$5="","Yes",IF(ISNUMBER(SEARCH($C$5,Parameters!$G$29)),"Yes","No – N/A for "&amp;$C$5)))</f>
        <v>Yes</v>
      </c>
    </row>
    <row r="35" customFormat="false" ht="30" hidden="false" customHeight="true" outlineLevel="0" collapsed="false">
      <c r="A35" s="16" t="n">
        <f aca="false">Parameters!$A$30</f>
        <v>26</v>
      </c>
      <c r="B35" s="17" t="str">
        <f aca="false">Parameters!$B$30</f>
        <v>Quench</v>
      </c>
      <c r="C35" s="17" t="str">
        <f aca="false">Parameters!$C$30</f>
        <v>Quench elevator / conveyor: no abnormal noise, chain tension</v>
      </c>
      <c r="D35" s="18" t="str">
        <f aca="false">Parameters!$D$30</f>
        <v>Visual / listen</v>
      </c>
      <c r="E35" s="16" t="str">
        <f aca="false">IF(Parameters!$E$30="","",Parameters!$E$30)</f>
        <v/>
      </c>
      <c r="F35" s="19" t="str">
        <f aca="false">IF(Parameters!$F$30="Check","OK / Not OK",TRIM(IF(Parameters!$I$30&lt;&gt;"","act &lt;"&amp;Parameters!$I$30&amp;"  ","")&amp;IF(Parameters!$J$30&lt;&gt;"","watch &lt;"&amp;Parameters!$J$30&amp;"  ","")&amp;IF(Parameters!$K$30&lt;&gt;"","watch &gt;"&amp;Parameters!$K$30&amp;"  ","")&amp;IF(Parameters!$L$30&lt;&gt;"","act &gt;"&amp;Parameters!$L$30,"")))</f>
        <v>OK / Not OK</v>
      </c>
      <c r="G35" s="20" t="str">
        <f aca="false">IF(Parameters!$H$30="","",Parameters!$H$30)</f>
        <v/>
      </c>
      <c r="H35" s="21"/>
      <c r="I35" s="21"/>
      <c r="J35" s="22" t="str">
        <f aca="false">IF(OR(H35="",I35="",Parameters!$F$30="Check"),"",H35-I35)</f>
        <v/>
      </c>
      <c r="K35" s="23" t="str">
        <f aca="false">IF(OR(H35="",G35="",Parameters!$F$30="Check"),"",IF(G35=0,H35-G35,(H35-G35)/ABS(G35)))</f>
        <v/>
      </c>
      <c r="L35" s="24" t="str">
        <f aca="false">IF(LEFT(N35,2)="No","N/A",IF(H35="","",IF(Parameters!$F$30="Check",IF(H35="OK","OK","ACT"),IF(OR(AND(Parameters!$I$30&lt;&gt;"",H35&lt;Parameters!$I$30),AND(Parameters!$L$30&lt;&gt;"",H35&gt;Parameters!$L$30)),"ACT",IF(OR(AND(Parameters!$J$30&lt;&gt;"",H35&lt;Parameters!$J$30),AND(Parameters!$K$30&lt;&gt;"",H35&gt;Parameters!$K$30)),"WATCH","OK")))))</f>
        <v/>
      </c>
      <c r="M35" s="12"/>
      <c r="N35" s="19" t="str">
        <f aca="false">IF(Parameters!$G$30="All","Yes",IF($C$5="","Yes",IF(ISNUMBER(SEARCH($C$5,Parameters!$G$30)),"Yes","No – N/A for "&amp;$C$5)))</f>
        <v>Yes</v>
      </c>
    </row>
    <row r="36" customFormat="false" ht="30" hidden="false" customHeight="true" outlineLevel="0" collapsed="false">
      <c r="A36" s="16" t="n">
        <f aca="false">Parameters!$A$31</f>
        <v>27</v>
      </c>
      <c r="B36" s="17" t="str">
        <f aca="false">Parameters!$B$31</f>
        <v>Electrical</v>
      </c>
      <c r="C36" s="17" t="str">
        <f aca="false">Parameters!$C$31</f>
        <v>Control panel internal temperature</v>
      </c>
      <c r="D36" s="18" t="str">
        <f aca="false">Parameters!$D$31</f>
        <v>Panel thermometer / IR</v>
      </c>
      <c r="E36" s="16" t="str">
        <f aca="false">IF(Parameters!$E$31="","",Parameters!$E$31)</f>
        <v>°C</v>
      </c>
      <c r="F36" s="19" t="str">
        <f aca="false">IF(Parameters!$F$31="Check","OK / Not OK",TRIM(IF(Parameters!$I$31&lt;&gt;"","act &lt;"&amp;Parameters!$I$31&amp;"  ","")&amp;IF(Parameters!$J$31&lt;&gt;"","watch &lt;"&amp;Parameters!$J$31&amp;"  ","")&amp;IF(Parameters!$K$31&lt;&gt;"","watch &gt;"&amp;Parameters!$K$31&amp;"  ","")&amp;IF(Parameters!$L$31&lt;&gt;"","act &gt;"&amp;Parameters!$L$31,"")))</f>
        <v>watch &gt;40 act &gt;45</v>
      </c>
      <c r="G36" s="20" t="n">
        <f aca="false">IF(Parameters!$H$31="","",Parameters!$H$31)</f>
        <v>35</v>
      </c>
      <c r="H36" s="21"/>
      <c r="I36" s="21"/>
      <c r="J36" s="22" t="str">
        <f aca="false">IF(OR(H36="",I36="",Parameters!$F$31="Check"),"",H36-I36)</f>
        <v/>
      </c>
      <c r="K36" s="23" t="str">
        <f aca="false">IF(OR(H36="",G36="",Parameters!$F$31="Check"),"",IF(G36=0,H36-G36,(H36-G36)/ABS(G36)))</f>
        <v/>
      </c>
      <c r="L36" s="24" t="str">
        <f aca="false">IF(LEFT(N36,2)="No","N/A",IF(H36="","",IF(Parameters!$F$31="Check",IF(H36="OK","OK","ACT"),IF(OR(AND(Parameters!$I$31&lt;&gt;"",H36&lt;Parameters!$I$31),AND(Parameters!$L$31&lt;&gt;"",H36&gt;Parameters!$L$31)),"ACT",IF(OR(AND(Parameters!$J$31&lt;&gt;"",H36&lt;Parameters!$J$31),AND(Parameters!$K$31&lt;&gt;"",H36&gt;Parameters!$K$31)),"WATCH","OK")))))</f>
        <v/>
      </c>
      <c r="M36" s="12"/>
      <c r="N36" s="19" t="str">
        <f aca="false">IF(Parameters!$G$31="All","Yes",IF($C$5="","Yes",IF(ISNUMBER(SEARCH($C$5,Parameters!$G$31)),"Yes","No – N/A for "&amp;$C$5)))</f>
        <v>Yes</v>
      </c>
    </row>
    <row r="37" customFormat="false" ht="30" hidden="false" customHeight="true" outlineLevel="0" collapsed="false">
      <c r="A37" s="16" t="n">
        <f aca="false">Parameters!$A$32</f>
        <v>28</v>
      </c>
      <c r="B37" s="17" t="str">
        <f aca="false">Parameters!$B$32</f>
        <v>Electrical</v>
      </c>
      <c r="C37" s="17" t="str">
        <f aca="false">Parameters!$C$32</f>
        <v>Thermocouple heads, compensating cables and connections intact</v>
      </c>
      <c r="D37" s="18" t="str">
        <f aca="false">Parameters!$D$32</f>
        <v>Visual</v>
      </c>
      <c r="E37" s="16" t="str">
        <f aca="false">IF(Parameters!$E$32="","",Parameters!$E$32)</f>
        <v/>
      </c>
      <c r="F37" s="19" t="str">
        <f aca="false">IF(Parameters!$F$32="Check","OK / Not OK",TRIM(IF(Parameters!$I$32&lt;&gt;"","act &lt;"&amp;Parameters!$I$32&amp;"  ","")&amp;IF(Parameters!$J$32&lt;&gt;"","watch &lt;"&amp;Parameters!$J$32&amp;"  ","")&amp;IF(Parameters!$K$32&lt;&gt;"","watch &gt;"&amp;Parameters!$K$32&amp;"  ","")&amp;IF(Parameters!$L$32&lt;&gt;"","act &gt;"&amp;Parameters!$L$32,"")))</f>
        <v>OK / Not OK</v>
      </c>
      <c r="G37" s="20" t="str">
        <f aca="false">IF(Parameters!$H$32="","",Parameters!$H$32)</f>
        <v/>
      </c>
      <c r="H37" s="21"/>
      <c r="I37" s="21"/>
      <c r="J37" s="22" t="str">
        <f aca="false">IF(OR(H37="",I37="",Parameters!$F$32="Check"),"",H37-I37)</f>
        <v/>
      </c>
      <c r="K37" s="23" t="str">
        <f aca="false">IF(OR(H37="",G37="",Parameters!$F$32="Check"),"",IF(G37=0,H37-G37,(H37-G37)/ABS(G37)))</f>
        <v/>
      </c>
      <c r="L37" s="24" t="str">
        <f aca="false">IF(LEFT(N37,2)="No","N/A",IF(H37="","",IF(Parameters!$F$32="Check",IF(H37="OK","OK","ACT"),IF(OR(AND(Parameters!$I$32&lt;&gt;"",H37&lt;Parameters!$I$32),AND(Parameters!$L$32&lt;&gt;"",H37&gt;Parameters!$L$32)),"ACT",IF(OR(AND(Parameters!$J$32&lt;&gt;"",H37&lt;Parameters!$J$32),AND(Parameters!$K$32&lt;&gt;"",H37&gt;Parameters!$K$32)),"WATCH","OK")))))</f>
        <v/>
      </c>
      <c r="M37" s="12"/>
      <c r="N37" s="19" t="str">
        <f aca="false">IF(Parameters!$G$32="All","Yes",IF($C$5="","Yes",IF(ISNUMBER(SEARCH($C$5,Parameters!$G$32)),"Yes","No – N/A for "&amp;$C$5)))</f>
        <v>Yes</v>
      </c>
    </row>
    <row r="39" customFormat="false" ht="15" hidden="false" customHeight="true" outlineLevel="0" collapsed="false">
      <c r="A39" s="7" t="s">
        <v>46</v>
      </c>
      <c r="B39" s="7"/>
      <c r="C39" s="7"/>
      <c r="D39" s="7"/>
      <c r="E39" s="7"/>
      <c r="F39" s="7"/>
      <c r="G39" s="7"/>
      <c r="H39" s="7"/>
      <c r="I39" s="7"/>
      <c r="J39" s="7"/>
      <c r="K39" s="7"/>
      <c r="L39" s="7"/>
      <c r="M39" s="7"/>
      <c r="N39" s="7"/>
    </row>
    <row r="40" customFormat="false" ht="15" hidden="false" customHeight="true" outlineLevel="0" collapsed="false">
      <c r="A40" s="11" t="s">
        <v>47</v>
      </c>
      <c r="B40" s="11"/>
      <c r="C40" s="11"/>
      <c r="D40" s="11"/>
      <c r="E40" s="11"/>
      <c r="F40" s="25" t="n">
        <f aca="false">COUNTIF($N$10:$N$37,"Yes")</f>
        <v>28</v>
      </c>
      <c r="G40" s="25"/>
      <c r="H40" s="25"/>
      <c r="I40" s="25"/>
      <c r="J40" s="25"/>
      <c r="K40" s="25"/>
      <c r="L40" s="25"/>
      <c r="M40" s="25"/>
      <c r="N40" s="25"/>
    </row>
    <row r="41" customFormat="false" ht="15" hidden="false" customHeight="true" outlineLevel="0" collapsed="false">
      <c r="A41" s="11" t="s">
        <v>48</v>
      </c>
      <c r="B41" s="11"/>
      <c r="C41" s="11"/>
      <c r="D41" s="11"/>
      <c r="E41" s="11"/>
      <c r="F41" s="25" t="n">
        <f aca="false">COUNTIF($L$10:$L$37,"OK")+COUNTIF($L$10:$L$37,"WATCH")+COUNTIF($L$10:$L$37,"ACT")</f>
        <v>0</v>
      </c>
      <c r="G41" s="25"/>
      <c r="H41" s="25"/>
      <c r="I41" s="25"/>
      <c r="J41" s="25"/>
      <c r="K41" s="25"/>
      <c r="L41" s="25"/>
      <c r="M41" s="25"/>
      <c r="N41" s="25"/>
    </row>
    <row r="42" customFormat="false" ht="15" hidden="false" customHeight="true" outlineLevel="0" collapsed="false">
      <c r="A42" s="11" t="s">
        <v>49</v>
      </c>
      <c r="B42" s="11"/>
      <c r="C42" s="11"/>
      <c r="D42" s="11"/>
      <c r="E42" s="11"/>
      <c r="F42" s="25" t="n">
        <f aca="false">COUNTIF($L$10:$L$37,"ACT")</f>
        <v>0</v>
      </c>
      <c r="G42" s="25"/>
      <c r="H42" s="25"/>
      <c r="I42" s="25"/>
      <c r="J42" s="25"/>
      <c r="K42" s="25"/>
      <c r="L42" s="25"/>
      <c r="M42" s="25"/>
      <c r="N42" s="25"/>
    </row>
    <row r="43" customFormat="false" ht="15" hidden="false" customHeight="true" outlineLevel="0" collapsed="false">
      <c r="A43" s="11" t="s">
        <v>50</v>
      </c>
      <c r="B43" s="11"/>
      <c r="C43" s="11"/>
      <c r="D43" s="11"/>
      <c r="E43" s="11"/>
      <c r="F43" s="25" t="n">
        <f aca="false">COUNTIF($L$10:$L$37,"WATCH")</f>
        <v>0</v>
      </c>
      <c r="G43" s="25"/>
      <c r="H43" s="25"/>
      <c r="I43" s="25"/>
      <c r="J43" s="25"/>
      <c r="K43" s="25"/>
      <c r="L43" s="25"/>
      <c r="M43" s="25"/>
      <c r="N43" s="25"/>
    </row>
    <row r="44" customFormat="false" ht="15" hidden="false" customHeight="true" outlineLevel="0" collapsed="false">
      <c r="A44" s="11" t="s">
        <v>51</v>
      </c>
      <c r="B44" s="11"/>
      <c r="C44" s="11"/>
      <c r="D44" s="11"/>
      <c r="E44" s="11"/>
      <c r="F44" s="26" t="str">
        <f aca="false">IF($F$42&gt;0,"ACTION: raise a maintenance work order today for every ACT item and inform the Maintenance Head",IF($F$41&lt;$F$40,"INCOMPLETE: "&amp;($F$40-$F$41)&amp;" reading(s) missing",IF($F$43&gt;0,"WATCH: plan maintenance and follow these items on the trend sheet","ALL WITHIN LIMITS")))</f>
        <v>INCOMPLETE: 28 reading(s) missing</v>
      </c>
      <c r="G44" s="26"/>
      <c r="H44" s="26"/>
      <c r="I44" s="26"/>
      <c r="J44" s="26"/>
      <c r="K44" s="26"/>
      <c r="L44" s="26"/>
      <c r="M44" s="26"/>
      <c r="N44" s="26"/>
    </row>
    <row r="46" customFormat="false" ht="15" hidden="false" customHeight="true" outlineLevel="0" collapsed="false">
      <c r="B46" s="27" t="s">
        <v>52</v>
      </c>
      <c r="C46" s="27" t="s">
        <v>53</v>
      </c>
      <c r="D46" s="27"/>
      <c r="E46" s="27" t="s">
        <v>54</v>
      </c>
      <c r="F46" s="27"/>
      <c r="G46" s="27"/>
      <c r="H46" s="27" t="s">
        <v>55</v>
      </c>
      <c r="I46" s="27"/>
      <c r="J46" s="27"/>
    </row>
    <row r="47" customFormat="false" ht="25.5" hidden="false" customHeight="true" outlineLevel="0" collapsed="false">
      <c r="B47" s="28" t="s">
        <v>56</v>
      </c>
      <c r="C47" s="12"/>
      <c r="D47" s="12"/>
      <c r="E47" s="12"/>
      <c r="F47" s="12"/>
      <c r="G47" s="12"/>
      <c r="H47" s="12"/>
      <c r="I47" s="12"/>
      <c r="J47" s="12"/>
    </row>
    <row r="48" customFormat="false" ht="25.5" hidden="false" customHeight="true" outlineLevel="0" collapsed="false">
      <c r="B48" s="28" t="s">
        <v>57</v>
      </c>
      <c r="C48" s="12"/>
      <c r="D48" s="12"/>
      <c r="E48" s="12"/>
      <c r="F48" s="12"/>
      <c r="G48" s="12"/>
      <c r="H48" s="12"/>
      <c r="I48" s="12"/>
      <c r="J48" s="12"/>
    </row>
  </sheetData>
  <mergeCells count="31">
    <mergeCell ref="A1:N1"/>
    <mergeCell ref="A2:J3"/>
    <mergeCell ref="K2:N2"/>
    <mergeCell ref="K3:N3"/>
    <mergeCell ref="C5:D5"/>
    <mergeCell ref="G5:I5"/>
    <mergeCell ref="K5:N5"/>
    <mergeCell ref="C6:D6"/>
    <mergeCell ref="G6:I6"/>
    <mergeCell ref="K6:N6"/>
    <mergeCell ref="A7:N7"/>
    <mergeCell ref="A39:N39"/>
    <mergeCell ref="A40:E40"/>
    <mergeCell ref="F40:N40"/>
    <mergeCell ref="A41:E41"/>
    <mergeCell ref="F41:N41"/>
    <mergeCell ref="A42:E42"/>
    <mergeCell ref="F42:N42"/>
    <mergeCell ref="A43:E43"/>
    <mergeCell ref="F43:N43"/>
    <mergeCell ref="A44:E44"/>
    <mergeCell ref="F44:N44"/>
    <mergeCell ref="C46:D46"/>
    <mergeCell ref="E46:G46"/>
    <mergeCell ref="H46:J46"/>
    <mergeCell ref="C47:D47"/>
    <mergeCell ref="E47:G47"/>
    <mergeCell ref="H47:J47"/>
    <mergeCell ref="C48:D48"/>
    <mergeCell ref="E48:G48"/>
    <mergeCell ref="H48:J48"/>
  </mergeCells>
  <conditionalFormatting sqref="L10:L37">
    <cfRule type="expression" priority="2" aboveAverage="0" equalAverage="0" bottom="0" percent="0" rank="0" text="" dxfId="0">
      <formula>L10="ACT"</formula>
    </cfRule>
    <cfRule type="expression" priority="3" aboveAverage="0" equalAverage="0" bottom="0" percent="0" rank="0" text="" dxfId="1">
      <formula>L10="WATCH"</formula>
    </cfRule>
    <cfRule type="expression" priority="4" aboveAverage="0" equalAverage="0" bottom="0" percent="0" rank="0" text="" dxfId="2">
      <formula>L10="OK"</formula>
    </cfRule>
  </conditionalFormatting>
  <conditionalFormatting sqref="A10:K37">
    <cfRule type="expression" priority="5" aboveAverage="0" equalAverage="0" bottom="0" percent="0" rank="0" text="" dxfId="3">
      <formula>LEFT($N10,2)="No"</formula>
    </cfRule>
  </conditionalFormatting>
  <conditionalFormatting sqref="F44">
    <cfRule type="expression" priority="6" aboveAverage="0" equalAverage="0" bottom="0" percent="0" rank="0" text="" dxfId="0">
      <formula>LEFT($F$44,6)="ACTION"</formula>
    </cfRule>
    <cfRule type="expression" priority="7" aboveAverage="0" equalAverage="0" bottom="0" percent="0" rank="0" text="" dxfId="1">
      <formula>OR(LEFT($F$44,5)="WATCH",LEFT($F$44,10)="INCOMPLETE")</formula>
    </cfRule>
    <cfRule type="expression" priority="8" aboveAverage="0" equalAverage="0" bottom="0" percent="0" rank="0" text="" dxfId="2">
      <formula>$F$44="ALL WITHIN LIMITS"</formula>
    </cfRule>
  </conditionalFormatting>
  <dataValidations count="8">
    <dataValidation allowBlank="true" errorStyle="stop" operator="between" showDropDown="false" showErrorMessage="false" showInputMessage="false" sqref="C5" type="list">
      <formula1>"F-01,F-02,F-03,F-04"</formula1>
      <formula2>0</formula2>
    </dataValidation>
    <dataValidation allowBlank="true" errorStyle="stop" operator="between" showDropDown="false" showErrorMessage="false" showInputMessage="false" sqref="C6" type="list">
      <formula1>"Running (steady state),Running (heating up / changing),Idle (hot standby),Stopped"</formula1>
      <formula2>0</formula2>
    </dataValidation>
    <dataValidation allowBlank="true" errorStyle="stop" operator="between" showDropDown="false" showErrorMessage="false" showInputMessage="false" sqref="K5" type="list">
      <formula1>"A (06:00-14:00),B (14:00-22:00),C (22:00-06:00)"</formula1>
      <formula2>0</formula2>
    </dataValidation>
    <dataValidation allowBlank="true" errorStyle="stop" operator="between" showDropDown="false" showErrorMessage="false" showInputMessage="false" sqref="H22:I22" type="list">
      <formula1>"OK,Not OK"</formula1>
      <formula2>0</formula2>
    </dataValidation>
    <dataValidation allowBlank="true" errorStyle="stop" operator="between" showDropDown="false" showErrorMessage="false" showInputMessage="false" sqref="H26:I26" type="list">
      <formula1>"OK,Not OK"</formula1>
      <formula2>0</formula2>
    </dataValidation>
    <dataValidation allowBlank="true" errorStyle="stop" operator="between" showDropDown="false" showErrorMessage="false" showInputMessage="false" sqref="H28:I28" type="list">
      <formula1>"OK,Not OK"</formula1>
      <formula2>0</formula2>
    </dataValidation>
    <dataValidation allowBlank="true" errorStyle="stop" operator="between" showDropDown="false" showErrorMessage="false" showInputMessage="false" sqref="H35:I35" type="list">
      <formula1>"OK,Not OK"</formula1>
      <formula2>0</formula2>
    </dataValidation>
    <dataValidation allowBlank="true" errorStyle="stop" operator="between" showDropDown="false" showErrorMessage="false" showInputMessage="false" sqref="H37:I37" type="list">
      <formula1>"OK,Not OK"</formula1>
      <formula2>0</formula2>
    </dataValidation>
  </dataValidations>
  <printOptions headings="false" gridLines="false" gridLinesSet="true" horizontalCentered="false" verticalCentered="false"/>
  <pageMargins left="0.3" right="0.3"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&amp;L&amp;8Form F-MT-01 Rev 0 · &amp;A&amp;R&amp;8Page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5A"/>
    <pageSetUpPr fitToPage="true"/>
  </sheetPr>
  <dimension ref="A1:L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1" topLeftCell="C12" activePane="bottomRight" state="frozen"/>
      <selection pane="topLeft" activeCell="A1" activeCellId="0" sqref="A1"/>
      <selection pane="topRight" activeCell="C1" activeCellId="0" sqref="C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12" min="3" style="0" width="13"/>
  </cols>
  <sheetData>
    <row r="1" customFormat="false" ht="15" hidden="false" customHeight="true" outlineLevel="0" collapsed="false">
      <c r="A1" s="7" t="s">
        <v>21</v>
      </c>
      <c r="B1" s="7"/>
      <c r="C1" s="7"/>
      <c r="D1" s="7"/>
      <c r="E1" s="7"/>
      <c r="F1" s="7"/>
      <c r="G1" s="7"/>
      <c r="H1" s="7"/>
      <c r="I1" s="7"/>
      <c r="J1" s="7"/>
      <c r="K1" s="7"/>
      <c r="L1" s="7"/>
    </row>
    <row r="2" customFormat="false" ht="15" hidden="false" customHeight="true" outlineLevel="0" collapsed="false">
      <c r="A2" s="8" t="s">
        <v>58</v>
      </c>
      <c r="B2" s="8"/>
      <c r="C2" s="8"/>
      <c r="D2" s="8"/>
      <c r="E2" s="8"/>
      <c r="F2" s="8"/>
      <c r="G2" s="8"/>
      <c r="H2" s="8"/>
      <c r="I2" s="8"/>
      <c r="J2" s="8"/>
      <c r="K2" s="8"/>
      <c r="L2" s="8"/>
    </row>
    <row r="3" customFormat="false" ht="15" hidden="false" customHeight="false" outlineLevel="0" collapsed="false">
      <c r="A3" s="8"/>
      <c r="B3" s="8"/>
      <c r="C3" s="8"/>
      <c r="D3" s="8"/>
      <c r="E3" s="8"/>
      <c r="F3" s="8"/>
      <c r="G3" s="8"/>
      <c r="H3" s="8"/>
      <c r="I3" s="8"/>
      <c r="J3" s="8"/>
      <c r="K3" s="8"/>
      <c r="L3" s="8"/>
    </row>
    <row r="5" customFormat="false" ht="15" hidden="false" customHeight="true" outlineLevel="0" collapsed="false">
      <c r="A5" s="11" t="s">
        <v>25</v>
      </c>
      <c r="B5" s="11"/>
      <c r="C5" s="21"/>
      <c r="D5" s="21"/>
      <c r="E5" s="11" t="s">
        <v>59</v>
      </c>
      <c r="F5" s="11"/>
      <c r="G5" s="29"/>
      <c r="H5" s="29"/>
    </row>
    <row r="6" customFormat="false" ht="25.5" hidden="false" customHeight="true" outlineLevel="0" collapsed="false">
      <c r="A6" s="14" t="s">
        <v>60</v>
      </c>
      <c r="B6" s="14"/>
      <c r="C6" s="14"/>
      <c r="D6" s="14"/>
      <c r="E6" s="14"/>
      <c r="F6" s="14"/>
      <c r="G6" s="14"/>
      <c r="H6" s="14"/>
      <c r="I6" s="14"/>
      <c r="J6" s="14"/>
      <c r="K6" s="14"/>
      <c r="L6" s="14"/>
    </row>
    <row r="8" customFormat="false" ht="15" hidden="false" customHeight="false" outlineLevel="0" collapsed="false">
      <c r="A8" s="10"/>
      <c r="B8" s="27" t="s">
        <v>61</v>
      </c>
      <c r="C8" s="30" t="n">
        <v>14</v>
      </c>
      <c r="D8" s="30" t="n">
        <v>15</v>
      </c>
      <c r="E8" s="30" t="n">
        <v>4</v>
      </c>
      <c r="F8" s="30" t="n">
        <v>24</v>
      </c>
      <c r="G8" s="30" t="n">
        <v>12</v>
      </c>
      <c r="H8" s="30" t="n">
        <v>7</v>
      </c>
      <c r="I8" s="30" t="n">
        <v>9</v>
      </c>
      <c r="J8" s="30" t="n">
        <v>20</v>
      </c>
      <c r="K8" s="30" t="n">
        <v>3</v>
      </c>
      <c r="L8" s="30" t="n">
        <v>25</v>
      </c>
    </row>
    <row r="9" customFormat="false" ht="63.75" hidden="false" customHeight="true" outlineLevel="0" collapsed="false">
      <c r="A9" s="31"/>
      <c r="B9" s="15" t="s">
        <v>34</v>
      </c>
      <c r="C9" s="32" t="str">
        <f aca="false">IFERROR(INDEX(Parameters!$C$5:$C$32,MATCH(C$8,Parameters!$A$5:$A$32,0)),"")</f>
        <v>Pusher hydraulic pressure during the push</v>
      </c>
      <c r="D9" s="32" t="str">
        <f aca="false">IFERROR(INDEX(Parameters!$C$5:$C$32,MATCH(D$8,Parameters!$A$5:$A$32,0)),"")</f>
        <v>Push stroke time (one full push)</v>
      </c>
      <c r="E9" s="32" t="str">
        <f aca="false">IFERROR(INDEX(Parameters!$C$5:$C$32,MATCH(E$8,Parameters!$A$5:$A$32,0)),"")</f>
        <v>Combustion air blower bearing vibration</v>
      </c>
      <c r="F9" s="32" t="str">
        <f aca="false">IFERROR(INDEX(Parameters!$C$5:$C$32,MATCH(F$8,Parameters!$A$5:$A$32,0)),"")</f>
        <v>Quench agitator motor current (agitation is not monitored: current is the indicator)</v>
      </c>
      <c r="G9" s="32" t="str">
        <f aca="false">IFERROR(INDEX(Parameters!$C$5:$C$32,MATCH(G$8,Parameters!$A$5:$A$32,0)),"")</f>
        <v>Furnace shell hottest spot (IR scan of walls, roof, doors)</v>
      </c>
      <c r="H9" s="32" t="str">
        <f aca="false">IFERROR(INDEX(Parameters!$C$5:$C$32,MATCH(H$8,Parameters!$A$5:$A$32,0)),"")</f>
        <v>Highest zone controller output at steady state, hardening chamber</v>
      </c>
      <c r="I9" s="32" t="str">
        <f aca="false">IFERROR(INDEX(Parameters!$C$5:$C$32,MATCH(I$8,Parameters!$A$5:$A$32,0)),"")</f>
        <v>Largest wall difference (left − right) of a zone, hardening chamber</v>
      </c>
      <c r="J9" s="32" t="str">
        <f aca="false">IFERROR(INDEX(Parameters!$C$5:$C$32,MATCH(J$8,Parameters!$A$5:$A$32,0)),"")</f>
        <v>Cooling chamber blower motor current</v>
      </c>
      <c r="K9" s="32" t="str">
        <f aca="false">IFERROR(INDEX(Parameters!$C$5:$C$32,MATCH(K$8,Parameters!$A$5:$A$32,0)),"")</f>
        <v>Combustion air blower motor current</v>
      </c>
      <c r="L9" s="32" t="str">
        <f aca="false">IFERROR(INDEX(Parameters!$C$5:$C$32,MATCH(L$8,Parameters!$A$5:$A$32,0)),"")</f>
        <v>Oil cooler temperature drop (oil in − oil out)</v>
      </c>
    </row>
    <row r="10" customFormat="false" ht="15" hidden="false" customHeight="false" outlineLevel="0" collapsed="false">
      <c r="A10" s="31"/>
      <c r="B10" s="15" t="s">
        <v>36</v>
      </c>
      <c r="C10" s="15" t="str">
        <f aca="false">IF(IFERROR(INDEX(Parameters!$E$5:$E$32,MATCH(C$8,Parameters!$A$5:$A$32,0)),"")=0,"",IFERROR(INDEX(Parameters!$E$5:$E$32,MATCH(C$8,Parameters!$A$5:$A$32,0)),""))</f>
        <v>bar</v>
      </c>
      <c r="D10" s="15" t="str">
        <f aca="false">IF(IFERROR(INDEX(Parameters!$E$5:$E$32,MATCH(D$8,Parameters!$A$5:$A$32,0)),"")=0,"",IFERROR(INDEX(Parameters!$E$5:$E$32,MATCH(D$8,Parameters!$A$5:$A$32,0)),""))</f>
        <v>s</v>
      </c>
      <c r="E10" s="15" t="str">
        <f aca="false">IF(IFERROR(INDEX(Parameters!$E$5:$E$32,MATCH(E$8,Parameters!$A$5:$A$32,0)),"")=0,"",IFERROR(INDEX(Parameters!$E$5:$E$32,MATCH(E$8,Parameters!$A$5:$A$32,0)),""))</f>
        <v>mm/s</v>
      </c>
      <c r="F10" s="15" t="str">
        <f aca="false">IF(IFERROR(INDEX(Parameters!$E$5:$E$32,MATCH(F$8,Parameters!$A$5:$A$32,0)),"")=0,"",IFERROR(INDEX(Parameters!$E$5:$E$32,MATCH(F$8,Parameters!$A$5:$A$32,0)),""))</f>
        <v>% FLA</v>
      </c>
      <c r="G10" s="15" t="str">
        <f aca="false">IF(IFERROR(INDEX(Parameters!$E$5:$E$32,MATCH(G$8,Parameters!$A$5:$A$32,0)),"")=0,"",IFERROR(INDEX(Parameters!$E$5:$E$32,MATCH(G$8,Parameters!$A$5:$A$32,0)),""))</f>
        <v>°C</v>
      </c>
      <c r="H10" s="15" t="str">
        <f aca="false">IF(IFERROR(INDEX(Parameters!$E$5:$E$32,MATCH(H$8,Parameters!$A$5:$A$32,0)),"")=0,"",IFERROR(INDEX(Parameters!$E$5:$E$32,MATCH(H$8,Parameters!$A$5:$A$32,0)),""))</f>
        <v>%</v>
      </c>
      <c r="I10" s="15" t="str">
        <f aca="false">IF(IFERROR(INDEX(Parameters!$E$5:$E$32,MATCH(I$8,Parameters!$A$5:$A$32,0)),"")=0,"",IFERROR(INDEX(Parameters!$E$5:$E$32,MATCH(I$8,Parameters!$A$5:$A$32,0)),""))</f>
        <v>°C</v>
      </c>
      <c r="J10" s="15" t="str">
        <f aca="false">IF(IFERROR(INDEX(Parameters!$E$5:$E$32,MATCH(J$8,Parameters!$A$5:$A$32,0)),"")=0,"",IFERROR(INDEX(Parameters!$E$5:$E$32,MATCH(J$8,Parameters!$A$5:$A$32,0)),""))</f>
        <v>% FLA</v>
      </c>
      <c r="K10" s="15" t="str">
        <f aca="false">IF(IFERROR(INDEX(Parameters!$E$5:$E$32,MATCH(K$8,Parameters!$A$5:$A$32,0)),"")=0,"",IFERROR(INDEX(Parameters!$E$5:$E$32,MATCH(K$8,Parameters!$A$5:$A$32,0)),""))</f>
        <v>% FLA</v>
      </c>
      <c r="L10" s="15" t="str">
        <f aca="false">IF(IFERROR(INDEX(Parameters!$E$5:$E$32,MATCH(L$8,Parameters!$A$5:$A$32,0)),"")=0,"",IFERROR(INDEX(Parameters!$E$5:$E$32,MATCH(L$8,Parameters!$A$5:$A$32,0)),""))</f>
        <v>°C</v>
      </c>
    </row>
    <row r="11" customFormat="false" ht="15" hidden="false" customHeight="false" outlineLevel="0" collapsed="false">
      <c r="A11" s="27" t="s">
        <v>62</v>
      </c>
      <c r="B11" s="27" t="s">
        <v>26</v>
      </c>
      <c r="C11" s="27" t="s">
        <v>63</v>
      </c>
      <c r="D11" s="27" t="s">
        <v>63</v>
      </c>
      <c r="E11" s="27" t="s">
        <v>63</v>
      </c>
      <c r="F11" s="27" t="s">
        <v>63</v>
      </c>
      <c r="G11" s="27" t="s">
        <v>63</v>
      </c>
      <c r="H11" s="27" t="s">
        <v>63</v>
      </c>
      <c r="I11" s="27" t="s">
        <v>63</v>
      </c>
      <c r="J11" s="27" t="s">
        <v>63</v>
      </c>
      <c r="K11" s="27" t="s">
        <v>63</v>
      </c>
      <c r="L11" s="27" t="s">
        <v>63</v>
      </c>
    </row>
    <row r="12" customFormat="false" ht="15" hidden="false" customHeight="false" outlineLevel="0" collapsed="false">
      <c r="A12" s="33" t="n">
        <v>1</v>
      </c>
      <c r="B12" s="34" t="str">
        <f aca="false">IF($G$5="","",IF(1&gt;DAY(EOMONTH($G$5,0)),"",$G$5+0))</f>
        <v/>
      </c>
      <c r="C12" s="21"/>
      <c r="D12" s="21"/>
      <c r="E12" s="21"/>
      <c r="F12" s="21"/>
      <c r="G12" s="21"/>
      <c r="H12" s="21"/>
      <c r="I12" s="21"/>
      <c r="J12" s="21"/>
      <c r="K12" s="21"/>
      <c r="L12" s="21"/>
    </row>
    <row r="13" customFormat="false" ht="15" hidden="false" customHeight="false" outlineLevel="0" collapsed="false">
      <c r="A13" s="33" t="n">
        <v>2</v>
      </c>
      <c r="B13" s="34" t="str">
        <f aca="false">IF($G$5="","",IF(2&gt;DAY(EOMONTH($G$5,0)),"",$G$5+1))</f>
        <v/>
      </c>
      <c r="C13" s="21"/>
      <c r="D13" s="21"/>
      <c r="E13" s="21"/>
      <c r="F13" s="21"/>
      <c r="G13" s="21"/>
      <c r="H13" s="21"/>
      <c r="I13" s="21"/>
      <c r="J13" s="21"/>
      <c r="K13" s="21"/>
      <c r="L13" s="21"/>
    </row>
    <row r="14" customFormat="false" ht="15" hidden="false" customHeight="false" outlineLevel="0" collapsed="false">
      <c r="A14" s="33" t="n">
        <v>3</v>
      </c>
      <c r="B14" s="34" t="str">
        <f aca="false">IF($G$5="","",IF(3&gt;DAY(EOMONTH($G$5,0)),"",$G$5+2))</f>
        <v/>
      </c>
      <c r="C14" s="21"/>
      <c r="D14" s="21"/>
      <c r="E14" s="21"/>
      <c r="F14" s="21"/>
      <c r="G14" s="21"/>
      <c r="H14" s="21"/>
      <c r="I14" s="21"/>
      <c r="J14" s="21"/>
      <c r="K14" s="21"/>
      <c r="L14" s="21"/>
    </row>
    <row r="15" customFormat="false" ht="15" hidden="false" customHeight="false" outlineLevel="0" collapsed="false">
      <c r="A15" s="33" t="n">
        <v>4</v>
      </c>
      <c r="B15" s="34" t="str">
        <f aca="false">IF($G$5="","",IF(4&gt;DAY(EOMONTH($G$5,0)),"",$G$5+3))</f>
        <v/>
      </c>
      <c r="C15" s="21"/>
      <c r="D15" s="21"/>
      <c r="E15" s="21"/>
      <c r="F15" s="21"/>
      <c r="G15" s="21"/>
      <c r="H15" s="21"/>
      <c r="I15" s="21"/>
      <c r="J15" s="21"/>
      <c r="K15" s="21"/>
      <c r="L15" s="21"/>
    </row>
    <row r="16" customFormat="false" ht="15" hidden="false" customHeight="false" outlineLevel="0" collapsed="false">
      <c r="A16" s="33" t="n">
        <v>5</v>
      </c>
      <c r="B16" s="34" t="str">
        <f aca="false">IF($G$5="","",IF(5&gt;DAY(EOMONTH($G$5,0)),"",$G$5+4))</f>
        <v/>
      </c>
      <c r="C16" s="21"/>
      <c r="D16" s="21"/>
      <c r="E16" s="21"/>
      <c r="F16" s="21"/>
      <c r="G16" s="21"/>
      <c r="H16" s="21"/>
      <c r="I16" s="21"/>
      <c r="J16" s="21"/>
      <c r="K16" s="21"/>
      <c r="L16" s="21"/>
    </row>
    <row r="17" customFormat="false" ht="15" hidden="false" customHeight="false" outlineLevel="0" collapsed="false">
      <c r="A17" s="33" t="n">
        <v>6</v>
      </c>
      <c r="B17" s="34" t="str">
        <f aca="false">IF($G$5="","",IF(6&gt;DAY(EOMONTH($G$5,0)),"",$G$5+5))</f>
        <v/>
      </c>
      <c r="C17" s="21"/>
      <c r="D17" s="21"/>
      <c r="E17" s="21"/>
      <c r="F17" s="21"/>
      <c r="G17" s="21"/>
      <c r="H17" s="21"/>
      <c r="I17" s="21"/>
      <c r="J17" s="21"/>
      <c r="K17" s="21"/>
      <c r="L17" s="21"/>
    </row>
    <row r="18" customFormat="false" ht="15" hidden="false" customHeight="false" outlineLevel="0" collapsed="false">
      <c r="A18" s="33" t="n">
        <v>7</v>
      </c>
      <c r="B18" s="34" t="str">
        <f aca="false">IF($G$5="","",IF(7&gt;DAY(EOMONTH($G$5,0)),"",$G$5+6))</f>
        <v/>
      </c>
      <c r="C18" s="21"/>
      <c r="D18" s="21"/>
      <c r="E18" s="21"/>
      <c r="F18" s="21"/>
      <c r="G18" s="21"/>
      <c r="H18" s="21"/>
      <c r="I18" s="21"/>
      <c r="J18" s="21"/>
      <c r="K18" s="21"/>
      <c r="L18" s="21"/>
    </row>
    <row r="19" customFormat="false" ht="15" hidden="false" customHeight="false" outlineLevel="0" collapsed="false">
      <c r="A19" s="33" t="n">
        <v>8</v>
      </c>
      <c r="B19" s="34" t="str">
        <f aca="false">IF($G$5="","",IF(8&gt;DAY(EOMONTH($G$5,0)),"",$G$5+7))</f>
        <v/>
      </c>
      <c r="C19" s="21"/>
      <c r="D19" s="21"/>
      <c r="E19" s="21"/>
      <c r="F19" s="21"/>
      <c r="G19" s="21"/>
      <c r="H19" s="21"/>
      <c r="I19" s="21"/>
      <c r="J19" s="21"/>
      <c r="K19" s="21"/>
      <c r="L19" s="21"/>
    </row>
    <row r="20" customFormat="false" ht="15" hidden="false" customHeight="false" outlineLevel="0" collapsed="false">
      <c r="A20" s="33" t="n">
        <v>9</v>
      </c>
      <c r="B20" s="34" t="str">
        <f aca="false">IF($G$5="","",IF(9&gt;DAY(EOMONTH($G$5,0)),"",$G$5+8))</f>
        <v/>
      </c>
      <c r="C20" s="21"/>
      <c r="D20" s="21"/>
      <c r="E20" s="21"/>
      <c r="F20" s="21"/>
      <c r="G20" s="21"/>
      <c r="H20" s="21"/>
      <c r="I20" s="21"/>
      <c r="J20" s="21"/>
      <c r="K20" s="21"/>
      <c r="L20" s="21"/>
    </row>
    <row r="21" customFormat="false" ht="15" hidden="false" customHeight="false" outlineLevel="0" collapsed="false">
      <c r="A21" s="33" t="n">
        <v>10</v>
      </c>
      <c r="B21" s="34" t="str">
        <f aca="false">IF($G$5="","",IF(10&gt;DAY(EOMONTH($G$5,0)),"",$G$5+9))</f>
        <v/>
      </c>
      <c r="C21" s="21"/>
      <c r="D21" s="21"/>
      <c r="E21" s="21"/>
      <c r="F21" s="21"/>
      <c r="G21" s="21"/>
      <c r="H21" s="21"/>
      <c r="I21" s="21"/>
      <c r="J21" s="21"/>
      <c r="K21" s="21"/>
      <c r="L21" s="21"/>
    </row>
    <row r="22" customFormat="false" ht="15" hidden="false" customHeight="false" outlineLevel="0" collapsed="false">
      <c r="A22" s="33" t="n">
        <v>11</v>
      </c>
      <c r="B22" s="34" t="str">
        <f aca="false">IF($G$5="","",IF(11&gt;DAY(EOMONTH($G$5,0)),"",$G$5+10))</f>
        <v/>
      </c>
      <c r="C22" s="21"/>
      <c r="D22" s="21"/>
      <c r="E22" s="21"/>
      <c r="F22" s="21"/>
      <c r="G22" s="21"/>
      <c r="H22" s="21"/>
      <c r="I22" s="21"/>
      <c r="J22" s="21"/>
      <c r="K22" s="21"/>
      <c r="L22" s="21"/>
    </row>
    <row r="23" customFormat="false" ht="15" hidden="false" customHeight="false" outlineLevel="0" collapsed="false">
      <c r="A23" s="33" t="n">
        <v>12</v>
      </c>
      <c r="B23" s="34" t="str">
        <f aca="false">IF($G$5="","",IF(12&gt;DAY(EOMONTH($G$5,0)),"",$G$5+11))</f>
        <v/>
      </c>
      <c r="C23" s="21"/>
      <c r="D23" s="21"/>
      <c r="E23" s="21"/>
      <c r="F23" s="21"/>
      <c r="G23" s="21"/>
      <c r="H23" s="21"/>
      <c r="I23" s="21"/>
      <c r="J23" s="21"/>
      <c r="K23" s="21"/>
      <c r="L23" s="21"/>
    </row>
    <row r="24" customFormat="false" ht="15" hidden="false" customHeight="false" outlineLevel="0" collapsed="false">
      <c r="A24" s="33" t="n">
        <v>13</v>
      </c>
      <c r="B24" s="34" t="str">
        <f aca="false">IF($G$5="","",IF(13&gt;DAY(EOMONTH($G$5,0)),"",$G$5+12))</f>
        <v/>
      </c>
      <c r="C24" s="21"/>
      <c r="D24" s="21"/>
      <c r="E24" s="21"/>
      <c r="F24" s="21"/>
      <c r="G24" s="21"/>
      <c r="H24" s="21"/>
      <c r="I24" s="21"/>
      <c r="J24" s="21"/>
      <c r="K24" s="21"/>
      <c r="L24" s="21"/>
    </row>
    <row r="25" customFormat="false" ht="15" hidden="false" customHeight="false" outlineLevel="0" collapsed="false">
      <c r="A25" s="33" t="n">
        <v>14</v>
      </c>
      <c r="B25" s="34" t="str">
        <f aca="false">IF($G$5="","",IF(14&gt;DAY(EOMONTH($G$5,0)),"",$G$5+13))</f>
        <v/>
      </c>
      <c r="C25" s="21"/>
      <c r="D25" s="21"/>
      <c r="E25" s="21"/>
      <c r="F25" s="21"/>
      <c r="G25" s="21"/>
      <c r="H25" s="21"/>
      <c r="I25" s="21"/>
      <c r="J25" s="21"/>
      <c r="K25" s="21"/>
      <c r="L25" s="21"/>
    </row>
    <row r="26" customFormat="false" ht="15" hidden="false" customHeight="false" outlineLevel="0" collapsed="false">
      <c r="A26" s="33" t="n">
        <v>15</v>
      </c>
      <c r="B26" s="34" t="str">
        <f aca="false">IF($G$5="","",IF(15&gt;DAY(EOMONTH($G$5,0)),"",$G$5+14))</f>
        <v/>
      </c>
      <c r="C26" s="21"/>
      <c r="D26" s="21"/>
      <c r="E26" s="21"/>
      <c r="F26" s="21"/>
      <c r="G26" s="21"/>
      <c r="H26" s="21"/>
      <c r="I26" s="21"/>
      <c r="J26" s="21"/>
      <c r="K26" s="21"/>
      <c r="L26" s="21"/>
    </row>
    <row r="27" customFormat="false" ht="15" hidden="false" customHeight="false" outlineLevel="0" collapsed="false">
      <c r="A27" s="33" t="n">
        <v>16</v>
      </c>
      <c r="B27" s="34" t="str">
        <f aca="false">IF($G$5="","",IF(16&gt;DAY(EOMONTH($G$5,0)),"",$G$5+15))</f>
        <v/>
      </c>
      <c r="C27" s="21"/>
      <c r="D27" s="21"/>
      <c r="E27" s="21"/>
      <c r="F27" s="21"/>
      <c r="G27" s="21"/>
      <c r="H27" s="21"/>
      <c r="I27" s="21"/>
      <c r="J27" s="21"/>
      <c r="K27" s="21"/>
      <c r="L27" s="21"/>
    </row>
    <row r="28" customFormat="false" ht="15" hidden="false" customHeight="false" outlineLevel="0" collapsed="false">
      <c r="A28" s="33" t="n">
        <v>17</v>
      </c>
      <c r="B28" s="34" t="str">
        <f aca="false">IF($G$5="","",IF(17&gt;DAY(EOMONTH($G$5,0)),"",$G$5+16))</f>
        <v/>
      </c>
      <c r="C28" s="21"/>
      <c r="D28" s="21"/>
      <c r="E28" s="21"/>
      <c r="F28" s="21"/>
      <c r="G28" s="21"/>
      <c r="H28" s="21"/>
      <c r="I28" s="21"/>
      <c r="J28" s="21"/>
      <c r="K28" s="21"/>
      <c r="L28" s="21"/>
    </row>
    <row r="29" customFormat="false" ht="15" hidden="false" customHeight="false" outlineLevel="0" collapsed="false">
      <c r="A29" s="33" t="n">
        <v>18</v>
      </c>
      <c r="B29" s="34" t="str">
        <f aca="false">IF($G$5="","",IF(18&gt;DAY(EOMONTH($G$5,0)),"",$G$5+17))</f>
        <v/>
      </c>
      <c r="C29" s="21"/>
      <c r="D29" s="21"/>
      <c r="E29" s="21"/>
      <c r="F29" s="21"/>
      <c r="G29" s="21"/>
      <c r="H29" s="21"/>
      <c r="I29" s="21"/>
      <c r="J29" s="21"/>
      <c r="K29" s="21"/>
      <c r="L29" s="21"/>
    </row>
    <row r="30" customFormat="false" ht="15" hidden="false" customHeight="false" outlineLevel="0" collapsed="false">
      <c r="A30" s="33" t="n">
        <v>19</v>
      </c>
      <c r="B30" s="34" t="str">
        <f aca="false">IF($G$5="","",IF(19&gt;DAY(EOMONTH($G$5,0)),"",$G$5+18))</f>
        <v/>
      </c>
      <c r="C30" s="21"/>
      <c r="D30" s="21"/>
      <c r="E30" s="21"/>
      <c r="F30" s="21"/>
      <c r="G30" s="21"/>
      <c r="H30" s="21"/>
      <c r="I30" s="21"/>
      <c r="J30" s="21"/>
      <c r="K30" s="21"/>
      <c r="L30" s="21"/>
    </row>
    <row r="31" customFormat="false" ht="15" hidden="false" customHeight="false" outlineLevel="0" collapsed="false">
      <c r="A31" s="33" t="n">
        <v>20</v>
      </c>
      <c r="B31" s="34" t="str">
        <f aca="false">IF($G$5="","",IF(20&gt;DAY(EOMONTH($G$5,0)),"",$G$5+19))</f>
        <v/>
      </c>
      <c r="C31" s="21"/>
      <c r="D31" s="21"/>
      <c r="E31" s="21"/>
      <c r="F31" s="21"/>
      <c r="G31" s="21"/>
      <c r="H31" s="21"/>
      <c r="I31" s="21"/>
      <c r="J31" s="21"/>
      <c r="K31" s="21"/>
      <c r="L31" s="21"/>
    </row>
    <row r="32" customFormat="false" ht="15" hidden="false" customHeight="false" outlineLevel="0" collapsed="false">
      <c r="A32" s="33" t="n">
        <v>21</v>
      </c>
      <c r="B32" s="34" t="str">
        <f aca="false">IF($G$5="","",IF(21&gt;DAY(EOMONTH($G$5,0)),"",$G$5+20))</f>
        <v/>
      </c>
      <c r="C32" s="21"/>
      <c r="D32" s="21"/>
      <c r="E32" s="21"/>
      <c r="F32" s="21"/>
      <c r="G32" s="21"/>
      <c r="H32" s="21"/>
      <c r="I32" s="21"/>
      <c r="J32" s="21"/>
      <c r="K32" s="21"/>
      <c r="L32" s="21"/>
    </row>
    <row r="33" customFormat="false" ht="15" hidden="false" customHeight="false" outlineLevel="0" collapsed="false">
      <c r="A33" s="33" t="n">
        <v>22</v>
      </c>
      <c r="B33" s="34" t="str">
        <f aca="false">IF($G$5="","",IF(22&gt;DAY(EOMONTH($G$5,0)),"",$G$5+21))</f>
        <v/>
      </c>
      <c r="C33" s="21"/>
      <c r="D33" s="21"/>
      <c r="E33" s="21"/>
      <c r="F33" s="21"/>
      <c r="G33" s="21"/>
      <c r="H33" s="21"/>
      <c r="I33" s="21"/>
      <c r="J33" s="21"/>
      <c r="K33" s="21"/>
      <c r="L33" s="21"/>
    </row>
    <row r="34" customFormat="false" ht="15" hidden="false" customHeight="false" outlineLevel="0" collapsed="false">
      <c r="A34" s="33" t="n">
        <v>23</v>
      </c>
      <c r="B34" s="34" t="str">
        <f aca="false">IF($G$5="","",IF(23&gt;DAY(EOMONTH($G$5,0)),"",$G$5+22))</f>
        <v/>
      </c>
      <c r="C34" s="21"/>
      <c r="D34" s="21"/>
      <c r="E34" s="21"/>
      <c r="F34" s="21"/>
      <c r="G34" s="21"/>
      <c r="H34" s="21"/>
      <c r="I34" s="21"/>
      <c r="J34" s="21"/>
      <c r="K34" s="21"/>
      <c r="L34" s="21"/>
    </row>
    <row r="35" customFormat="false" ht="15" hidden="false" customHeight="false" outlineLevel="0" collapsed="false">
      <c r="A35" s="33" t="n">
        <v>24</v>
      </c>
      <c r="B35" s="34" t="str">
        <f aca="false">IF($G$5="","",IF(24&gt;DAY(EOMONTH($G$5,0)),"",$G$5+23))</f>
        <v/>
      </c>
      <c r="C35" s="21"/>
      <c r="D35" s="21"/>
      <c r="E35" s="21"/>
      <c r="F35" s="21"/>
      <c r="G35" s="21"/>
      <c r="H35" s="21"/>
      <c r="I35" s="21"/>
      <c r="J35" s="21"/>
      <c r="K35" s="21"/>
      <c r="L35" s="21"/>
    </row>
    <row r="36" customFormat="false" ht="15" hidden="false" customHeight="false" outlineLevel="0" collapsed="false">
      <c r="A36" s="33" t="n">
        <v>25</v>
      </c>
      <c r="B36" s="34" t="str">
        <f aca="false">IF($G$5="","",IF(25&gt;DAY(EOMONTH($G$5,0)),"",$G$5+24))</f>
        <v/>
      </c>
      <c r="C36" s="21"/>
      <c r="D36" s="21"/>
      <c r="E36" s="21"/>
      <c r="F36" s="21"/>
      <c r="G36" s="21"/>
      <c r="H36" s="21"/>
      <c r="I36" s="21"/>
      <c r="J36" s="21"/>
      <c r="K36" s="21"/>
      <c r="L36" s="21"/>
    </row>
    <row r="37" customFormat="false" ht="15" hidden="false" customHeight="false" outlineLevel="0" collapsed="false">
      <c r="A37" s="33" t="n">
        <v>26</v>
      </c>
      <c r="B37" s="34" t="str">
        <f aca="false">IF($G$5="","",IF(26&gt;DAY(EOMONTH($G$5,0)),"",$G$5+25))</f>
        <v/>
      </c>
      <c r="C37" s="21"/>
      <c r="D37" s="21"/>
      <c r="E37" s="21"/>
      <c r="F37" s="21"/>
      <c r="G37" s="21"/>
      <c r="H37" s="21"/>
      <c r="I37" s="21"/>
      <c r="J37" s="21"/>
      <c r="K37" s="21"/>
      <c r="L37" s="21"/>
    </row>
    <row r="38" customFormat="false" ht="15" hidden="false" customHeight="false" outlineLevel="0" collapsed="false">
      <c r="A38" s="33" t="n">
        <v>27</v>
      </c>
      <c r="B38" s="34" t="str">
        <f aca="false">IF($G$5="","",IF(27&gt;DAY(EOMONTH($G$5,0)),"",$G$5+26))</f>
        <v/>
      </c>
      <c r="C38" s="21"/>
      <c r="D38" s="21"/>
      <c r="E38" s="21"/>
      <c r="F38" s="21"/>
      <c r="G38" s="21"/>
      <c r="H38" s="21"/>
      <c r="I38" s="21"/>
      <c r="J38" s="21"/>
      <c r="K38" s="21"/>
      <c r="L38" s="21"/>
    </row>
    <row r="39" customFormat="false" ht="15" hidden="false" customHeight="false" outlineLevel="0" collapsed="false">
      <c r="A39" s="33" t="n">
        <v>28</v>
      </c>
      <c r="B39" s="34" t="str">
        <f aca="false">IF($G$5="","",IF(28&gt;DAY(EOMONTH($G$5,0)),"",$G$5+27))</f>
        <v/>
      </c>
      <c r="C39" s="21"/>
      <c r="D39" s="21"/>
      <c r="E39" s="21"/>
      <c r="F39" s="21"/>
      <c r="G39" s="21"/>
      <c r="H39" s="21"/>
      <c r="I39" s="21"/>
      <c r="J39" s="21"/>
      <c r="K39" s="21"/>
      <c r="L39" s="21"/>
    </row>
    <row r="40" customFormat="false" ht="15" hidden="false" customHeight="false" outlineLevel="0" collapsed="false">
      <c r="A40" s="33" t="n">
        <v>29</v>
      </c>
      <c r="B40" s="34" t="str">
        <f aca="false">IF($G$5="","",IF(29&gt;DAY(EOMONTH($G$5,0)),"",$G$5+28))</f>
        <v/>
      </c>
      <c r="C40" s="21"/>
      <c r="D40" s="21"/>
      <c r="E40" s="21"/>
      <c r="F40" s="21"/>
      <c r="G40" s="21"/>
      <c r="H40" s="21"/>
      <c r="I40" s="21"/>
      <c r="J40" s="21"/>
      <c r="K40" s="21"/>
      <c r="L40" s="21"/>
    </row>
    <row r="41" customFormat="false" ht="15" hidden="false" customHeight="false" outlineLevel="0" collapsed="false">
      <c r="A41" s="33" t="n">
        <v>30</v>
      </c>
      <c r="B41" s="34" t="str">
        <f aca="false">IF($G$5="","",IF(30&gt;DAY(EOMONTH($G$5,0)),"",$G$5+29))</f>
        <v/>
      </c>
      <c r="C41" s="21"/>
      <c r="D41" s="21"/>
      <c r="E41" s="21"/>
      <c r="F41" s="21"/>
      <c r="G41" s="21"/>
      <c r="H41" s="21"/>
      <c r="I41" s="21"/>
      <c r="J41" s="21"/>
      <c r="K41" s="21"/>
      <c r="L41" s="21"/>
    </row>
    <row r="42" customFormat="false" ht="15" hidden="false" customHeight="false" outlineLevel="0" collapsed="false">
      <c r="A42" s="33" t="n">
        <v>31</v>
      </c>
      <c r="B42" s="34" t="str">
        <f aca="false">IF($G$5="","",IF(31&gt;DAY(EOMONTH($G$5,0)),"",$G$5+30))</f>
        <v/>
      </c>
      <c r="C42" s="21"/>
      <c r="D42" s="21"/>
      <c r="E42" s="21"/>
      <c r="F42" s="21"/>
      <c r="G42" s="21"/>
      <c r="H42" s="21"/>
      <c r="I42" s="21"/>
      <c r="J42" s="21"/>
      <c r="K42" s="21"/>
      <c r="L42" s="21"/>
    </row>
    <row r="43" customFormat="false" ht="15" hidden="false" customHeight="true" outlineLevel="0" collapsed="false">
      <c r="A43" s="11" t="s">
        <v>38</v>
      </c>
      <c r="B43" s="11"/>
      <c r="C43" s="35" t="n">
        <f aca="false">IF(IFERROR(INDEX(Parameters!$H$5:$H$32,MATCH(C$8,Parameters!$A$5:$A$32,0)),"")="","",IFERROR(INDEX(Parameters!$H$5:$H$32,MATCH(C$8,Parameters!$A$5:$A$32,0)),""))</f>
        <v>80</v>
      </c>
      <c r="D43" s="35" t="n">
        <f aca="false">IF(IFERROR(INDEX(Parameters!$H$5:$H$32,MATCH(D$8,Parameters!$A$5:$A$32,0)),"")="","",IFERROR(INDEX(Parameters!$H$5:$H$32,MATCH(D$8,Parameters!$A$5:$A$32,0)),""))</f>
        <v>30</v>
      </c>
      <c r="E43" s="35" t="n">
        <f aca="false">IF(IFERROR(INDEX(Parameters!$H$5:$H$32,MATCH(E$8,Parameters!$A$5:$A$32,0)),"")="","",IFERROR(INDEX(Parameters!$H$5:$H$32,MATCH(E$8,Parameters!$A$5:$A$32,0)),""))</f>
        <v>1.5</v>
      </c>
      <c r="F43" s="35" t="n">
        <f aca="false">IF(IFERROR(INDEX(Parameters!$H$5:$H$32,MATCH(F$8,Parameters!$A$5:$A$32,0)),"")="","",IFERROR(INDEX(Parameters!$H$5:$H$32,MATCH(F$8,Parameters!$A$5:$A$32,0)),""))</f>
        <v>70</v>
      </c>
      <c r="G43" s="35" t="n">
        <f aca="false">IF(IFERROR(INDEX(Parameters!$H$5:$H$32,MATCH(G$8,Parameters!$A$5:$A$32,0)),"")="","",IFERROR(INDEX(Parameters!$H$5:$H$32,MATCH(G$8,Parameters!$A$5:$A$32,0)),""))</f>
        <v>70</v>
      </c>
      <c r="H43" s="35" t="n">
        <f aca="false">IF(IFERROR(INDEX(Parameters!$H$5:$H$32,MATCH(H$8,Parameters!$A$5:$A$32,0)),"")="","",IFERROR(INDEX(Parameters!$H$5:$H$32,MATCH(H$8,Parameters!$A$5:$A$32,0)),""))</f>
        <v>55</v>
      </c>
      <c r="I43" s="35" t="n">
        <f aca="false">IF(IFERROR(INDEX(Parameters!$H$5:$H$32,MATCH(I$8,Parameters!$A$5:$A$32,0)),"")="","",IFERROR(INDEX(Parameters!$H$5:$H$32,MATCH(I$8,Parameters!$A$5:$A$32,0)),""))</f>
        <v>0</v>
      </c>
      <c r="J43" s="35" t="n">
        <f aca="false">IF(IFERROR(INDEX(Parameters!$H$5:$H$32,MATCH(J$8,Parameters!$A$5:$A$32,0)),"")="","",IFERROR(INDEX(Parameters!$H$5:$H$32,MATCH(J$8,Parameters!$A$5:$A$32,0)),""))</f>
        <v>70</v>
      </c>
      <c r="K43" s="35" t="n">
        <f aca="false">IF(IFERROR(INDEX(Parameters!$H$5:$H$32,MATCH(K$8,Parameters!$A$5:$A$32,0)),"")="","",IFERROR(INDEX(Parameters!$H$5:$H$32,MATCH(K$8,Parameters!$A$5:$A$32,0)),""))</f>
        <v>70</v>
      </c>
      <c r="L43" s="35" t="n">
        <f aca="false">IF(IFERROR(INDEX(Parameters!$H$5:$H$32,MATCH(L$8,Parameters!$A$5:$A$32,0)),"")="","",IFERROR(INDEX(Parameters!$H$5:$H$32,MATCH(L$8,Parameters!$A$5:$A$32,0)),""))</f>
        <v>8</v>
      </c>
    </row>
    <row r="44" customFormat="false" ht="15" hidden="false" customHeight="true" outlineLevel="0" collapsed="false">
      <c r="A44" s="11" t="s">
        <v>64</v>
      </c>
      <c r="B44" s="11"/>
      <c r="C44" s="35" t="str">
        <f aca="false">IF(IFERROR(INDEX(Parameters!$I$5:$I$32,MATCH(C$8,Parameters!$A$5:$A$32,0)),"")="","",IFERROR(INDEX(Parameters!$I$5:$I$32,MATCH(C$8,Parameters!$A$5:$A$32,0)),""))</f>
        <v/>
      </c>
      <c r="D44" s="35" t="str">
        <f aca="false">IF(IFERROR(INDEX(Parameters!$I$5:$I$32,MATCH(D$8,Parameters!$A$5:$A$32,0)),"")="","",IFERROR(INDEX(Parameters!$I$5:$I$32,MATCH(D$8,Parameters!$A$5:$A$32,0)),""))</f>
        <v/>
      </c>
      <c r="E44" s="35" t="str">
        <f aca="false">IF(IFERROR(INDEX(Parameters!$I$5:$I$32,MATCH(E$8,Parameters!$A$5:$A$32,0)),"")="","",IFERROR(INDEX(Parameters!$I$5:$I$32,MATCH(E$8,Parameters!$A$5:$A$32,0)),""))</f>
        <v/>
      </c>
      <c r="F44" s="35" t="n">
        <f aca="false">IF(IFERROR(INDEX(Parameters!$I$5:$I$32,MATCH(F$8,Parameters!$A$5:$A$32,0)),"")="","",IFERROR(INDEX(Parameters!$I$5:$I$32,MATCH(F$8,Parameters!$A$5:$A$32,0)),""))</f>
        <v>45</v>
      </c>
      <c r="G44" s="35" t="str">
        <f aca="false">IF(IFERROR(INDEX(Parameters!$I$5:$I$32,MATCH(G$8,Parameters!$A$5:$A$32,0)),"")="","",IFERROR(INDEX(Parameters!$I$5:$I$32,MATCH(G$8,Parameters!$A$5:$A$32,0)),""))</f>
        <v/>
      </c>
      <c r="H44" s="35" t="str">
        <f aca="false">IF(IFERROR(INDEX(Parameters!$I$5:$I$32,MATCH(H$8,Parameters!$A$5:$A$32,0)),"")="","",IFERROR(INDEX(Parameters!$I$5:$I$32,MATCH(H$8,Parameters!$A$5:$A$32,0)),""))</f>
        <v/>
      </c>
      <c r="I44" s="35" t="n">
        <f aca="false">IF(IFERROR(INDEX(Parameters!$I$5:$I$32,MATCH(I$8,Parameters!$A$5:$A$32,0)),"")="","",IFERROR(INDEX(Parameters!$I$5:$I$32,MATCH(I$8,Parameters!$A$5:$A$32,0)),""))</f>
        <v>-8</v>
      </c>
      <c r="J44" s="35" t="n">
        <f aca="false">IF(IFERROR(INDEX(Parameters!$I$5:$I$32,MATCH(J$8,Parameters!$A$5:$A$32,0)),"")="","",IFERROR(INDEX(Parameters!$I$5:$I$32,MATCH(J$8,Parameters!$A$5:$A$32,0)),""))</f>
        <v>45</v>
      </c>
      <c r="K44" s="35" t="n">
        <f aca="false">IF(IFERROR(INDEX(Parameters!$I$5:$I$32,MATCH(K$8,Parameters!$A$5:$A$32,0)),"")="","",IFERROR(INDEX(Parameters!$I$5:$I$32,MATCH(K$8,Parameters!$A$5:$A$32,0)),""))</f>
        <v>40</v>
      </c>
      <c r="L44" s="35" t="n">
        <f aca="false">IF(IFERROR(INDEX(Parameters!$I$5:$I$32,MATCH(L$8,Parameters!$A$5:$A$32,0)),"")="","",IFERROR(INDEX(Parameters!$I$5:$I$32,MATCH(L$8,Parameters!$A$5:$A$32,0)),""))</f>
        <v>3</v>
      </c>
    </row>
    <row r="45" customFormat="false" ht="15" hidden="false" customHeight="true" outlineLevel="0" collapsed="false">
      <c r="A45" s="11" t="s">
        <v>65</v>
      </c>
      <c r="B45" s="11"/>
      <c r="C45" s="35" t="str">
        <f aca="false">IF(IFERROR(INDEX(Parameters!$J$5:$J$32,MATCH(C$8,Parameters!$A$5:$A$32,0)),"")="","",IFERROR(INDEX(Parameters!$J$5:$J$32,MATCH(C$8,Parameters!$A$5:$A$32,0)),""))</f>
        <v/>
      </c>
      <c r="D45" s="35" t="str">
        <f aca="false">IF(IFERROR(INDEX(Parameters!$J$5:$J$32,MATCH(D$8,Parameters!$A$5:$A$32,0)),"")="","",IFERROR(INDEX(Parameters!$J$5:$J$32,MATCH(D$8,Parameters!$A$5:$A$32,0)),""))</f>
        <v/>
      </c>
      <c r="E45" s="35" t="str">
        <f aca="false">IF(IFERROR(INDEX(Parameters!$J$5:$J$32,MATCH(E$8,Parameters!$A$5:$A$32,0)),"")="","",IFERROR(INDEX(Parameters!$J$5:$J$32,MATCH(E$8,Parameters!$A$5:$A$32,0)),""))</f>
        <v/>
      </c>
      <c r="F45" s="35" t="n">
        <f aca="false">IF(IFERROR(INDEX(Parameters!$J$5:$J$32,MATCH(F$8,Parameters!$A$5:$A$32,0)),"")="","",IFERROR(INDEX(Parameters!$J$5:$J$32,MATCH(F$8,Parameters!$A$5:$A$32,0)),""))</f>
        <v>55</v>
      </c>
      <c r="G45" s="35" t="str">
        <f aca="false">IF(IFERROR(INDEX(Parameters!$J$5:$J$32,MATCH(G$8,Parameters!$A$5:$A$32,0)),"")="","",IFERROR(INDEX(Parameters!$J$5:$J$32,MATCH(G$8,Parameters!$A$5:$A$32,0)),""))</f>
        <v/>
      </c>
      <c r="H45" s="35" t="str">
        <f aca="false">IF(IFERROR(INDEX(Parameters!$J$5:$J$32,MATCH(H$8,Parameters!$A$5:$A$32,0)),"")="","",IFERROR(INDEX(Parameters!$J$5:$J$32,MATCH(H$8,Parameters!$A$5:$A$32,0)),""))</f>
        <v/>
      </c>
      <c r="I45" s="35" t="n">
        <f aca="false">IF(IFERROR(INDEX(Parameters!$J$5:$J$32,MATCH(I$8,Parameters!$A$5:$A$32,0)),"")="","",IFERROR(INDEX(Parameters!$J$5:$J$32,MATCH(I$8,Parameters!$A$5:$A$32,0)),""))</f>
        <v>-5</v>
      </c>
      <c r="J45" s="35" t="n">
        <f aca="false">IF(IFERROR(INDEX(Parameters!$J$5:$J$32,MATCH(J$8,Parameters!$A$5:$A$32,0)),"")="","",IFERROR(INDEX(Parameters!$J$5:$J$32,MATCH(J$8,Parameters!$A$5:$A$32,0)),""))</f>
        <v>55</v>
      </c>
      <c r="K45" s="35" t="n">
        <f aca="false">IF(IFERROR(INDEX(Parameters!$J$5:$J$32,MATCH(K$8,Parameters!$A$5:$A$32,0)),"")="","",IFERROR(INDEX(Parameters!$J$5:$J$32,MATCH(K$8,Parameters!$A$5:$A$32,0)),""))</f>
        <v>55</v>
      </c>
      <c r="L45" s="35" t="n">
        <f aca="false">IF(IFERROR(INDEX(Parameters!$J$5:$J$32,MATCH(L$8,Parameters!$A$5:$A$32,0)),"")="","",IFERROR(INDEX(Parameters!$J$5:$J$32,MATCH(L$8,Parameters!$A$5:$A$32,0)),""))</f>
        <v>5</v>
      </c>
    </row>
    <row r="46" customFormat="false" ht="15" hidden="false" customHeight="true" outlineLevel="0" collapsed="false">
      <c r="A46" s="11" t="s">
        <v>66</v>
      </c>
      <c r="B46" s="11"/>
      <c r="C46" s="35" t="n">
        <f aca="false">IF(IFERROR(INDEX(Parameters!$K$5:$K$32,MATCH(C$8,Parameters!$A$5:$A$32,0)),"")="","",IFERROR(INDEX(Parameters!$K$5:$K$32,MATCH(C$8,Parameters!$A$5:$A$32,0)),""))</f>
        <v>110</v>
      </c>
      <c r="D46" s="35" t="n">
        <f aca="false">IF(IFERROR(INDEX(Parameters!$K$5:$K$32,MATCH(D$8,Parameters!$A$5:$A$32,0)),"")="","",IFERROR(INDEX(Parameters!$K$5:$K$32,MATCH(D$8,Parameters!$A$5:$A$32,0)),""))</f>
        <v>36</v>
      </c>
      <c r="E46" s="35" t="n">
        <f aca="false">IF(IFERROR(INDEX(Parameters!$K$5:$K$32,MATCH(E$8,Parameters!$A$5:$A$32,0)),"")="","",IFERROR(INDEX(Parameters!$K$5:$K$32,MATCH(E$8,Parameters!$A$5:$A$32,0)),""))</f>
        <v>2.8</v>
      </c>
      <c r="F46" s="35" t="n">
        <f aca="false">IF(IFERROR(INDEX(Parameters!$K$5:$K$32,MATCH(F$8,Parameters!$A$5:$A$32,0)),"")="","",IFERROR(INDEX(Parameters!$K$5:$K$32,MATCH(F$8,Parameters!$A$5:$A$32,0)),""))</f>
        <v>90</v>
      </c>
      <c r="G46" s="35" t="n">
        <f aca="false">IF(IFERROR(INDEX(Parameters!$K$5:$K$32,MATCH(G$8,Parameters!$A$5:$A$32,0)),"")="","",IFERROR(INDEX(Parameters!$K$5:$K$32,MATCH(G$8,Parameters!$A$5:$A$32,0)),""))</f>
        <v>100</v>
      </c>
      <c r="H46" s="35" t="n">
        <f aca="false">IF(IFERROR(INDEX(Parameters!$K$5:$K$32,MATCH(H$8,Parameters!$A$5:$A$32,0)),"")="","",IFERROR(INDEX(Parameters!$K$5:$K$32,MATCH(H$8,Parameters!$A$5:$A$32,0)),""))</f>
        <v>75</v>
      </c>
      <c r="I46" s="35" t="n">
        <f aca="false">IF(IFERROR(INDEX(Parameters!$K$5:$K$32,MATCH(I$8,Parameters!$A$5:$A$32,0)),"")="","",IFERROR(INDEX(Parameters!$K$5:$K$32,MATCH(I$8,Parameters!$A$5:$A$32,0)),""))</f>
        <v>5</v>
      </c>
      <c r="J46" s="35" t="n">
        <f aca="false">IF(IFERROR(INDEX(Parameters!$K$5:$K$32,MATCH(J$8,Parameters!$A$5:$A$32,0)),"")="","",IFERROR(INDEX(Parameters!$K$5:$K$32,MATCH(J$8,Parameters!$A$5:$A$32,0)),""))</f>
        <v>85</v>
      </c>
      <c r="K46" s="35" t="n">
        <f aca="false">IF(IFERROR(INDEX(Parameters!$K$5:$K$32,MATCH(K$8,Parameters!$A$5:$A$32,0)),"")="","",IFERROR(INDEX(Parameters!$K$5:$K$32,MATCH(K$8,Parameters!$A$5:$A$32,0)),""))</f>
        <v>85</v>
      </c>
      <c r="L46" s="35" t="str">
        <f aca="false">IF(IFERROR(INDEX(Parameters!$K$5:$K$32,MATCH(L$8,Parameters!$A$5:$A$32,0)),"")="","",IFERROR(INDEX(Parameters!$K$5:$K$32,MATCH(L$8,Parameters!$A$5:$A$32,0)),""))</f>
        <v/>
      </c>
    </row>
    <row r="47" customFormat="false" ht="15" hidden="false" customHeight="true" outlineLevel="0" collapsed="false">
      <c r="A47" s="11" t="s">
        <v>67</v>
      </c>
      <c r="B47" s="11"/>
      <c r="C47" s="35" t="n">
        <f aca="false">IF(IFERROR(INDEX(Parameters!$L$5:$L$32,MATCH(C$8,Parameters!$A$5:$A$32,0)),"")="","",IFERROR(INDEX(Parameters!$L$5:$L$32,MATCH(C$8,Parameters!$A$5:$A$32,0)),""))</f>
        <v>130</v>
      </c>
      <c r="D47" s="35" t="n">
        <f aca="false">IF(IFERROR(INDEX(Parameters!$L$5:$L$32,MATCH(D$8,Parameters!$A$5:$A$32,0)),"")="","",IFERROR(INDEX(Parameters!$L$5:$L$32,MATCH(D$8,Parameters!$A$5:$A$32,0)),""))</f>
        <v>40</v>
      </c>
      <c r="E47" s="35" t="n">
        <f aca="false">IF(IFERROR(INDEX(Parameters!$L$5:$L$32,MATCH(E$8,Parameters!$A$5:$A$32,0)),"")="","",IFERROR(INDEX(Parameters!$L$5:$L$32,MATCH(E$8,Parameters!$A$5:$A$32,0)),""))</f>
        <v>4.5</v>
      </c>
      <c r="F47" s="35" t="n">
        <f aca="false">IF(IFERROR(INDEX(Parameters!$L$5:$L$32,MATCH(F$8,Parameters!$A$5:$A$32,0)),"")="","",IFERROR(INDEX(Parameters!$L$5:$L$32,MATCH(F$8,Parameters!$A$5:$A$32,0)),""))</f>
        <v>100</v>
      </c>
      <c r="G47" s="35" t="n">
        <f aca="false">IF(IFERROR(INDEX(Parameters!$L$5:$L$32,MATCH(G$8,Parameters!$A$5:$A$32,0)),"")="","",IFERROR(INDEX(Parameters!$L$5:$L$32,MATCH(G$8,Parameters!$A$5:$A$32,0)),""))</f>
        <v>120</v>
      </c>
      <c r="H47" s="35" t="n">
        <f aca="false">IF(IFERROR(INDEX(Parameters!$L$5:$L$32,MATCH(H$8,Parameters!$A$5:$A$32,0)),"")="","",IFERROR(INDEX(Parameters!$L$5:$L$32,MATCH(H$8,Parameters!$A$5:$A$32,0)),""))</f>
        <v>90</v>
      </c>
      <c r="I47" s="35" t="n">
        <f aca="false">IF(IFERROR(INDEX(Parameters!$L$5:$L$32,MATCH(I$8,Parameters!$A$5:$A$32,0)),"")="","",IFERROR(INDEX(Parameters!$L$5:$L$32,MATCH(I$8,Parameters!$A$5:$A$32,0)),""))</f>
        <v>8</v>
      </c>
      <c r="J47" s="35" t="n">
        <f aca="false">IF(IFERROR(INDEX(Parameters!$L$5:$L$32,MATCH(J$8,Parameters!$A$5:$A$32,0)),"")="","",IFERROR(INDEX(Parameters!$L$5:$L$32,MATCH(J$8,Parameters!$A$5:$A$32,0)),""))</f>
        <v>95</v>
      </c>
      <c r="K47" s="35" t="n">
        <f aca="false">IF(IFERROR(INDEX(Parameters!$L$5:$L$32,MATCH(K$8,Parameters!$A$5:$A$32,0)),"")="","",IFERROR(INDEX(Parameters!$L$5:$L$32,MATCH(K$8,Parameters!$A$5:$A$32,0)),""))</f>
        <v>95</v>
      </c>
      <c r="L47" s="35" t="str">
        <f aca="false">IF(IFERROR(INDEX(Parameters!$L$5:$L$32,MATCH(L$8,Parameters!$A$5:$A$32,0)),"")="","",IFERROR(INDEX(Parameters!$L$5:$L$32,MATCH(L$8,Parameters!$A$5:$A$32,0)),""))</f>
        <v/>
      </c>
    </row>
    <row r="48" customFormat="false" ht="15" hidden="false" customHeight="true" outlineLevel="0" collapsed="false">
      <c r="A48" s="11" t="s">
        <v>68</v>
      </c>
      <c r="B48" s="11"/>
      <c r="C48" s="35" t="n">
        <f aca="false">COUNT(C$12:C$42)</f>
        <v>0</v>
      </c>
      <c r="D48" s="35" t="n">
        <f aca="false">COUNT(D$12:D$42)</f>
        <v>0</v>
      </c>
      <c r="E48" s="35" t="n">
        <f aca="false">COUNT(E$12:E$42)</f>
        <v>0</v>
      </c>
      <c r="F48" s="35" t="n">
        <f aca="false">COUNT(F$12:F$42)</f>
        <v>0</v>
      </c>
      <c r="G48" s="35" t="n">
        <f aca="false">COUNT(G$12:G$42)</f>
        <v>0</v>
      </c>
      <c r="H48" s="35" t="n">
        <f aca="false">COUNT(H$12:H$42)</f>
        <v>0</v>
      </c>
      <c r="I48" s="35" t="n">
        <f aca="false">COUNT(I$12:I$42)</f>
        <v>0</v>
      </c>
      <c r="J48" s="35" t="n">
        <f aca="false">COUNT(J$12:J$42)</f>
        <v>0</v>
      </c>
      <c r="K48" s="35" t="n">
        <f aca="false">COUNT(K$12:K$42)</f>
        <v>0</v>
      </c>
      <c r="L48" s="35" t="n">
        <f aca="false">COUNT(L$12:L$42)</f>
        <v>0</v>
      </c>
    </row>
    <row r="49" customFormat="false" ht="15" hidden="false" customHeight="true" outlineLevel="0" collapsed="false">
      <c r="A49" s="11" t="s">
        <v>69</v>
      </c>
      <c r="B49" s="11"/>
      <c r="C49" s="35" t="str">
        <f aca="false">IF(C48=0,"",INDEX(C$12:C$42,MATCH(9.99E+307,C$12:C$42)))</f>
        <v/>
      </c>
      <c r="D49" s="35" t="str">
        <f aca="false">IF(D48=0,"",INDEX(D$12:D$42,MATCH(9.99E+307,D$12:D$42)))</f>
        <v/>
      </c>
      <c r="E49" s="35" t="str">
        <f aca="false">IF(E48=0,"",INDEX(E$12:E$42,MATCH(9.99E+307,E$12:E$42)))</f>
        <v/>
      </c>
      <c r="F49" s="35" t="str">
        <f aca="false">IF(F48=0,"",INDEX(F$12:F$42,MATCH(9.99E+307,F$12:F$42)))</f>
        <v/>
      </c>
      <c r="G49" s="35" t="str">
        <f aca="false">IF(G48=0,"",INDEX(G$12:G$42,MATCH(9.99E+307,G$12:G$42)))</f>
        <v/>
      </c>
      <c r="H49" s="35" t="str">
        <f aca="false">IF(H48=0,"",INDEX(H$12:H$42,MATCH(9.99E+307,H$12:H$42)))</f>
        <v/>
      </c>
      <c r="I49" s="35" t="str">
        <f aca="false">IF(I48=0,"",INDEX(I$12:I$42,MATCH(9.99E+307,I$12:I$42)))</f>
        <v/>
      </c>
      <c r="J49" s="35" t="str">
        <f aca="false">IF(J48=0,"",INDEX(J$12:J$42,MATCH(9.99E+307,J$12:J$42)))</f>
        <v/>
      </c>
      <c r="K49" s="35" t="str">
        <f aca="false">IF(K48=0,"",INDEX(K$12:K$42,MATCH(9.99E+307,K$12:K$42)))</f>
        <v/>
      </c>
      <c r="L49" s="35" t="str">
        <f aca="false">IF(L48=0,"",INDEX(L$12:L$42,MATCH(9.99E+307,L$12:L$42)))</f>
        <v/>
      </c>
    </row>
    <row r="50" customFormat="false" ht="22.35" hidden="false" customHeight="true" outlineLevel="0" collapsed="false">
      <c r="A50" s="11" t="s">
        <v>70</v>
      </c>
      <c r="B50" s="11"/>
      <c r="C50" s="35" t="str">
        <f aca="false">IF(C48=0,"",INDEX($A$12:$A$42,MATCH(9.99E+307,C$12:C$42)))</f>
        <v/>
      </c>
      <c r="D50" s="35" t="str">
        <f aca="false">IF(D48=0,"",INDEX($A$12:$A$42,MATCH(9.99E+307,D$12:D$42)))</f>
        <v/>
      </c>
      <c r="E50" s="35" t="str">
        <f aca="false">IF(E48=0,"",INDEX($A$12:$A$42,MATCH(9.99E+307,E$12:E$42)))</f>
        <v/>
      </c>
      <c r="F50" s="35" t="str">
        <f aca="false">IF(F48=0,"",INDEX($A$12:$A$42,MATCH(9.99E+307,F$12:F$42)))</f>
        <v/>
      </c>
      <c r="G50" s="35" t="str">
        <f aca="false">IF(G48=0,"",INDEX($A$12:$A$42,MATCH(9.99E+307,G$12:G$42)))</f>
        <v/>
      </c>
      <c r="H50" s="35" t="str">
        <f aca="false">IF(H48=0,"",INDEX($A$12:$A$42,MATCH(9.99E+307,H$12:H$42)))</f>
        <v/>
      </c>
      <c r="I50" s="35" t="str">
        <f aca="false">IF(I48=0,"",INDEX($A$12:$A$42,MATCH(9.99E+307,I$12:I$42)))</f>
        <v/>
      </c>
      <c r="J50" s="35" t="str">
        <f aca="false">IF(J48=0,"",INDEX($A$12:$A$42,MATCH(9.99E+307,J$12:J$42)))</f>
        <v/>
      </c>
      <c r="K50" s="35" t="str">
        <f aca="false">IF(K48=0,"",INDEX($A$12:$A$42,MATCH(9.99E+307,K$12:K$42)))</f>
        <v/>
      </c>
      <c r="L50" s="35" t="str">
        <f aca="false">IF(L48=0,"",INDEX($A$12:$A$42,MATCH(9.99E+307,L$12:L$42)))</f>
        <v/>
      </c>
    </row>
    <row r="51" customFormat="false" ht="15" hidden="false" customHeight="true" outlineLevel="0" collapsed="false">
      <c r="A51" s="11" t="s">
        <v>71</v>
      </c>
      <c r="B51" s="11"/>
      <c r="C51" s="36" t="str">
        <f aca="false">IF(C48=0,"",AVERAGE(C$12:C$42))</f>
        <v/>
      </c>
      <c r="D51" s="36" t="str">
        <f aca="false">IF(D48=0,"",AVERAGE(D$12:D$42))</f>
        <v/>
      </c>
      <c r="E51" s="36" t="str">
        <f aca="false">IF(E48=0,"",AVERAGE(E$12:E$42))</f>
        <v/>
      </c>
      <c r="F51" s="36" t="str">
        <f aca="false">IF(F48=0,"",AVERAGE(F$12:F$42))</f>
        <v/>
      </c>
      <c r="G51" s="36" t="str">
        <f aca="false">IF(G48=0,"",AVERAGE(G$12:G$42))</f>
        <v/>
      </c>
      <c r="H51" s="36" t="str">
        <f aca="false">IF(H48=0,"",AVERAGE(H$12:H$42))</f>
        <v/>
      </c>
      <c r="I51" s="36" t="str">
        <f aca="false">IF(I48=0,"",AVERAGE(I$12:I$42))</f>
        <v/>
      </c>
      <c r="J51" s="36" t="str">
        <f aca="false">IF(J48=0,"",AVERAGE(J$12:J$42))</f>
        <v/>
      </c>
      <c r="K51" s="36" t="str">
        <f aca="false">IF(K48=0,"",AVERAGE(K$12:K$42))</f>
        <v/>
      </c>
      <c r="L51" s="36" t="str">
        <f aca="false">IF(L48=0,"",AVERAGE(L$12:L$42))</f>
        <v/>
      </c>
    </row>
    <row r="52" customFormat="false" ht="15" hidden="false" customHeight="true" outlineLevel="0" collapsed="false">
      <c r="A52" s="11" t="s">
        <v>72</v>
      </c>
      <c r="B52" s="11"/>
      <c r="C52" s="37" t="str">
        <f aca="false">IF(C48&lt;5,"",SLOPE(C$12:C$42,$A$12:$A$42))</f>
        <v/>
      </c>
      <c r="D52" s="37" t="str">
        <f aca="false">IF(D48&lt;5,"",SLOPE(D$12:D$42,$A$12:$A$42))</f>
        <v/>
      </c>
      <c r="E52" s="37" t="str">
        <f aca="false">IF(E48&lt;5,"",SLOPE(E$12:E$42,$A$12:$A$42))</f>
        <v/>
      </c>
      <c r="F52" s="37" t="str">
        <f aca="false">IF(F48&lt;5,"",SLOPE(F$12:F$42,$A$12:$A$42))</f>
        <v/>
      </c>
      <c r="G52" s="37" t="str">
        <f aca="false">IF(G48&lt;5,"",SLOPE(G$12:G$42,$A$12:$A$42))</f>
        <v/>
      </c>
      <c r="H52" s="37" t="str">
        <f aca="false">IF(H48&lt;5,"",SLOPE(H$12:H$42,$A$12:$A$42))</f>
        <v/>
      </c>
      <c r="I52" s="37" t="str">
        <f aca="false">IF(I48&lt;5,"",SLOPE(I$12:I$42,$A$12:$A$42))</f>
        <v/>
      </c>
      <c r="J52" s="37" t="str">
        <f aca="false">IF(J48&lt;5,"",SLOPE(J$12:J$42,$A$12:$A$42))</f>
        <v/>
      </c>
      <c r="K52" s="37" t="str">
        <f aca="false">IF(K48&lt;5,"",SLOPE(K$12:K$42,$A$12:$A$42))</f>
        <v/>
      </c>
      <c r="L52" s="37" t="str">
        <f aca="false">IF(L48&lt;5,"",SLOPE(L$12:L$42,$A$12:$A$42))</f>
        <v/>
      </c>
    </row>
    <row r="53" customFormat="false" ht="22.35" hidden="false" customHeight="true" outlineLevel="0" collapsed="false">
      <c r="A53" s="11" t="s">
        <v>73</v>
      </c>
      <c r="B53" s="11"/>
      <c r="C53" s="36" t="str">
        <f aca="false">IF(C52="","",INTERCEPT(C$12:C$42,$A$12:$A$42)+C52*C50)</f>
        <v/>
      </c>
      <c r="D53" s="36" t="str">
        <f aca="false">IF(D52="","",INTERCEPT(D$12:D$42,$A$12:$A$42)+D52*D50)</f>
        <v/>
      </c>
      <c r="E53" s="36" t="str">
        <f aca="false">IF(E52="","",INTERCEPT(E$12:E$42,$A$12:$A$42)+E52*E50)</f>
        <v/>
      </c>
      <c r="F53" s="36" t="str">
        <f aca="false">IF(F52="","",INTERCEPT(F$12:F$42,$A$12:$A$42)+F52*F50)</f>
        <v/>
      </c>
      <c r="G53" s="36" t="str">
        <f aca="false">IF(G52="","",INTERCEPT(G$12:G$42,$A$12:$A$42)+G52*G50)</f>
        <v/>
      </c>
      <c r="H53" s="36" t="str">
        <f aca="false">IF(H52="","",INTERCEPT(H$12:H$42,$A$12:$A$42)+H52*H50)</f>
        <v/>
      </c>
      <c r="I53" s="36" t="str">
        <f aca="false">IF(I52="","",INTERCEPT(I$12:I$42,$A$12:$A$42)+I52*I50)</f>
        <v/>
      </c>
      <c r="J53" s="36" t="str">
        <f aca="false">IF(J52="","",INTERCEPT(J$12:J$42,$A$12:$A$42)+J52*J50)</f>
        <v/>
      </c>
      <c r="K53" s="36" t="str">
        <f aca="false">IF(K52="","",INTERCEPT(K$12:K$42,$A$12:$A$42)+K52*K50)</f>
        <v/>
      </c>
      <c r="L53" s="36" t="str">
        <f aca="false">IF(L52="","",INTERCEPT(L$12:L$42,$A$12:$A$42)+L52*L50)</f>
        <v/>
      </c>
    </row>
    <row r="54" customFormat="false" ht="22.35" hidden="false" customHeight="true" outlineLevel="0" collapsed="false">
      <c r="A54" s="11" t="s">
        <v>74</v>
      </c>
      <c r="B54" s="11"/>
      <c r="C54" s="38" t="str">
        <f aca="false">IF(OR(C52="",C52=0),"",IF(C52&gt;0,IF(C47="","",IF(C53&gt;=C47,0,(C47-C53)/C52)),IF(C44="","",IF(C53&lt;=C44,0,(C53-C44)/(-C52)))))</f>
        <v/>
      </c>
      <c r="D54" s="38" t="str">
        <f aca="false">IF(OR(D52="",D52=0),"",IF(D52&gt;0,IF(D47="","",IF(D53&gt;=D47,0,(D47-D53)/D52)),IF(D44="","",IF(D53&lt;=D44,0,(D53-D44)/(-D52)))))</f>
        <v/>
      </c>
      <c r="E54" s="38" t="str">
        <f aca="false">IF(OR(E52="",E52=0),"",IF(E52&gt;0,IF(E47="","",IF(E53&gt;=E47,0,(E47-E53)/E52)),IF(E44="","",IF(E53&lt;=E44,0,(E53-E44)/(-E52)))))</f>
        <v/>
      </c>
      <c r="F54" s="38" t="str">
        <f aca="false">IF(OR(F52="",F52=0),"",IF(F52&gt;0,IF(F47="","",IF(F53&gt;=F47,0,(F47-F53)/F52)),IF(F44="","",IF(F53&lt;=F44,0,(F53-F44)/(-F52)))))</f>
        <v/>
      </c>
      <c r="G54" s="38" t="str">
        <f aca="false">IF(OR(G52="",G52=0),"",IF(G52&gt;0,IF(G47="","",IF(G53&gt;=G47,0,(G47-G53)/G52)),IF(G44="","",IF(G53&lt;=G44,0,(G53-G44)/(-G52)))))</f>
        <v/>
      </c>
      <c r="H54" s="38" t="str">
        <f aca="false">IF(OR(H52="",H52=0),"",IF(H52&gt;0,IF(H47="","",IF(H53&gt;=H47,0,(H47-H53)/H52)),IF(H44="","",IF(H53&lt;=H44,0,(H53-H44)/(-H52)))))</f>
        <v/>
      </c>
      <c r="I54" s="38" t="str">
        <f aca="false">IF(OR(I52="",I52=0),"",IF(I52&gt;0,IF(I47="","",IF(I53&gt;=I47,0,(I47-I53)/I52)),IF(I44="","",IF(I53&lt;=I44,0,(I53-I44)/(-I52)))))</f>
        <v/>
      </c>
      <c r="J54" s="38" t="str">
        <f aca="false">IF(OR(J52="",J52=0),"",IF(J52&gt;0,IF(J47="","",IF(J53&gt;=J47,0,(J47-J53)/J52)),IF(J44="","",IF(J53&lt;=J44,0,(J53-J44)/(-J52)))))</f>
        <v/>
      </c>
      <c r="K54" s="38" t="str">
        <f aca="false">IF(OR(K52="",K52=0),"",IF(K52&gt;0,IF(K47="","",IF(K53&gt;=K47,0,(K47-K53)/K52)),IF(K44="","",IF(K53&lt;=K44,0,(K53-K44)/(-K52)))))</f>
        <v/>
      </c>
      <c r="L54" s="38" t="str">
        <f aca="false">IF(OR(L52="",L52=0),"",IF(L52&gt;0,IF(L47="","",IF(L53&gt;=L47,0,(L47-L53)/L52)),IF(L44="","",IF(L53&lt;=L44,0,(L53-L44)/(-L52)))))</f>
        <v/>
      </c>
    </row>
    <row r="55" customFormat="false" ht="42" hidden="false" customHeight="true" outlineLevel="0" collapsed="false">
      <c r="A55" s="11" t="s">
        <v>75</v>
      </c>
      <c r="B55" s="11"/>
      <c r="C55" s="39" t="str">
        <f aca="false">IF(C48&lt;5,"Needs 5 readings",IF(C54="","Stable / no limit in the trend direction",IF(C54&lt;=0,"AT THE LIMIT: act now",IF(C54&lt;=7,"PLAN WORK within "&amp;ROUND(C54,0)&amp;" days",IF(C54&lt;=30,"WATCH: limit in about "&amp;ROUND(C54,0)&amp;" days","Stable")))))</f>
        <v>Needs 5 readings</v>
      </c>
      <c r="D55" s="39" t="str">
        <f aca="false">IF(D48&lt;5,"Needs 5 readings",IF(D54="","Stable / no limit in the trend direction",IF(D54&lt;=0,"AT THE LIMIT: act now",IF(D54&lt;=7,"PLAN WORK within "&amp;ROUND(D54,0)&amp;" days",IF(D54&lt;=30,"WATCH: limit in about "&amp;ROUND(D54,0)&amp;" days","Stable")))))</f>
        <v>Needs 5 readings</v>
      </c>
      <c r="E55" s="39" t="str">
        <f aca="false">IF(E48&lt;5,"Needs 5 readings",IF(E54="","Stable / no limit in the trend direction",IF(E54&lt;=0,"AT THE LIMIT: act now",IF(E54&lt;=7,"PLAN WORK within "&amp;ROUND(E54,0)&amp;" days",IF(E54&lt;=30,"WATCH: limit in about "&amp;ROUND(E54,0)&amp;" days","Stable")))))</f>
        <v>Needs 5 readings</v>
      </c>
      <c r="F55" s="39" t="str">
        <f aca="false">IF(F48&lt;5,"Needs 5 readings",IF(F54="","Stable / no limit in the trend direction",IF(F54&lt;=0,"AT THE LIMIT: act now",IF(F54&lt;=7,"PLAN WORK within "&amp;ROUND(F54,0)&amp;" days",IF(F54&lt;=30,"WATCH: limit in about "&amp;ROUND(F54,0)&amp;" days","Stable")))))</f>
        <v>Needs 5 readings</v>
      </c>
      <c r="G55" s="39" t="str">
        <f aca="false">IF(G48&lt;5,"Needs 5 readings",IF(G54="","Stable / no limit in the trend direction",IF(G54&lt;=0,"AT THE LIMIT: act now",IF(G54&lt;=7,"PLAN WORK within "&amp;ROUND(G54,0)&amp;" days",IF(G54&lt;=30,"WATCH: limit in about "&amp;ROUND(G54,0)&amp;" days","Stable")))))</f>
        <v>Needs 5 readings</v>
      </c>
      <c r="H55" s="39" t="str">
        <f aca="false">IF(H48&lt;5,"Needs 5 readings",IF(H54="","Stable / no limit in the trend direction",IF(H54&lt;=0,"AT THE LIMIT: act now",IF(H54&lt;=7,"PLAN WORK within "&amp;ROUND(H54,0)&amp;" days",IF(H54&lt;=30,"WATCH: limit in about "&amp;ROUND(H54,0)&amp;" days","Stable")))))</f>
        <v>Needs 5 readings</v>
      </c>
      <c r="I55" s="39" t="str">
        <f aca="false">IF(I48&lt;5,"Needs 5 readings",IF(I54="","Stable / no limit in the trend direction",IF(I54&lt;=0,"AT THE LIMIT: act now",IF(I54&lt;=7,"PLAN WORK within "&amp;ROUND(I54,0)&amp;" days",IF(I54&lt;=30,"WATCH: limit in about "&amp;ROUND(I54,0)&amp;" days","Stable")))))</f>
        <v>Needs 5 readings</v>
      </c>
      <c r="J55" s="39" t="str">
        <f aca="false">IF(J48&lt;5,"Needs 5 readings",IF(J54="","Stable / no limit in the trend direction",IF(J54&lt;=0,"AT THE LIMIT: act now",IF(J54&lt;=7,"PLAN WORK within "&amp;ROUND(J54,0)&amp;" days",IF(J54&lt;=30,"WATCH: limit in about "&amp;ROUND(J54,0)&amp;" days","Stable")))))</f>
        <v>Needs 5 readings</v>
      </c>
      <c r="K55" s="39" t="str">
        <f aca="false">IF(K48&lt;5,"Needs 5 readings",IF(K54="","Stable / no limit in the trend direction",IF(K54&lt;=0,"AT THE LIMIT: act now",IF(K54&lt;=7,"PLAN WORK within "&amp;ROUND(K54,0)&amp;" days",IF(K54&lt;=30,"WATCH: limit in about "&amp;ROUND(K54,0)&amp;" days","Stable")))))</f>
        <v>Needs 5 readings</v>
      </c>
      <c r="L55" s="39" t="str">
        <f aca="false">IF(L48&lt;5,"Needs 5 readings",IF(L54="","Stable / no limit in the trend direction",IF(L54&lt;=0,"AT THE LIMIT: act now",IF(L54&lt;=7,"PLAN WORK within "&amp;ROUND(L54,0)&amp;" days",IF(L54&lt;=30,"WATCH: limit in about "&amp;ROUND(L54,0)&amp;" days","Stable")))))</f>
        <v>Needs 5 readings</v>
      </c>
    </row>
    <row r="57" customFormat="false" ht="39.75" hidden="false" customHeight="true" outlineLevel="0" collapsed="false">
      <c r="A57" s="14" t="s">
        <v>76</v>
      </c>
      <c r="B57" s="14"/>
      <c r="C57" s="14"/>
      <c r="D57" s="14"/>
      <c r="E57" s="14"/>
      <c r="F57" s="14"/>
      <c r="G57" s="14"/>
      <c r="H57" s="14"/>
      <c r="I57" s="14"/>
      <c r="J57" s="14"/>
      <c r="K57" s="14"/>
      <c r="L57" s="14"/>
    </row>
  </sheetData>
  <mergeCells count="21">
    <mergeCell ref="A1:L1"/>
    <mergeCell ref="A2:L3"/>
    <mergeCell ref="A5:B5"/>
    <mergeCell ref="C5:D5"/>
    <mergeCell ref="E5:F5"/>
    <mergeCell ref="G5:H5"/>
    <mergeCell ref="A6:L6"/>
    <mergeCell ref="A43:B43"/>
    <mergeCell ref="A44:B44"/>
    <mergeCell ref="A45:B45"/>
    <mergeCell ref="A46:B46"/>
    <mergeCell ref="A47:B47"/>
    <mergeCell ref="A48:B48"/>
    <mergeCell ref="A49:B49"/>
    <mergeCell ref="A50:B50"/>
    <mergeCell ref="A51:B51"/>
    <mergeCell ref="A52:B52"/>
    <mergeCell ref="A53:B53"/>
    <mergeCell ref="A54:B54"/>
    <mergeCell ref="A55:B55"/>
    <mergeCell ref="A57:L57"/>
  </mergeCells>
  <conditionalFormatting sqref="C55">
    <cfRule type="expression" priority="2" aboveAverage="0" equalAverage="0" bottom="0" percent="0" rank="0" text="" dxfId="0">
      <formula>OR(LEFT(C55,2)="AT",LEFT(C55,4)="PLAN")</formula>
    </cfRule>
    <cfRule type="expression" priority="3" aboveAverage="0" equalAverage="0" bottom="0" percent="0" rank="0" text="" dxfId="1">
      <formula>LEFT(C55,5)="WATCH"</formula>
    </cfRule>
    <cfRule type="expression" priority="4" aboveAverage="0" equalAverage="0" bottom="0" percent="0" rank="0" text="" dxfId="2">
      <formula>LEFT(C55,6)="Stable"</formula>
    </cfRule>
  </conditionalFormatting>
  <conditionalFormatting sqref="C12:C42">
    <cfRule type="expression" priority="5" aboveAverage="0" equalAverage="0" bottom="0" percent="0" rank="0" text="" dxfId="0">
      <formula>AND(ISNUMBER(C12),OR(AND(C$44&lt;&gt;"",C12&lt;C$44),AND(C$47&lt;&gt;"",C12&gt;C$47)))</formula>
    </cfRule>
    <cfRule type="expression" priority="6" aboveAverage="0" equalAverage="0" bottom="0" percent="0" rank="0" text="" dxfId="4">
      <formula>AND(ISNUMBER(C12),OR(AND(C$45&lt;&gt;"",C12&lt;C$45),AND(C$46&lt;&gt;"",C12&gt;C$46)))</formula>
    </cfRule>
  </conditionalFormatting>
  <conditionalFormatting sqref="D55">
    <cfRule type="expression" priority="7" aboveAverage="0" equalAverage="0" bottom="0" percent="0" rank="0" text="" dxfId="0">
      <formula>OR(LEFT(D55,2)="AT",LEFT(D55,4)="PLAN")</formula>
    </cfRule>
    <cfRule type="expression" priority="8" aboveAverage="0" equalAverage="0" bottom="0" percent="0" rank="0" text="" dxfId="1">
      <formula>LEFT(D55,5)="WATCH"</formula>
    </cfRule>
    <cfRule type="expression" priority="9" aboveAverage="0" equalAverage="0" bottom="0" percent="0" rank="0" text="" dxfId="2">
      <formula>LEFT(D55,6)="Stable"</formula>
    </cfRule>
  </conditionalFormatting>
  <conditionalFormatting sqref="D12:D42">
    <cfRule type="expression" priority="10" aboveAverage="0" equalAverage="0" bottom="0" percent="0" rank="0" text="" dxfId="0">
      <formula>AND(ISNUMBER(D12),OR(AND(D$44&lt;&gt;"",D12&lt;D$44),AND(D$47&lt;&gt;"",D12&gt;D$47)))</formula>
    </cfRule>
    <cfRule type="expression" priority="11" aboveAverage="0" equalAverage="0" bottom="0" percent="0" rank="0" text="" dxfId="4">
      <formula>AND(ISNUMBER(D12),OR(AND(D$45&lt;&gt;"",D12&lt;D$45),AND(D$46&lt;&gt;"",D12&gt;D$46)))</formula>
    </cfRule>
  </conditionalFormatting>
  <conditionalFormatting sqref="E55">
    <cfRule type="expression" priority="12" aboveAverage="0" equalAverage="0" bottom="0" percent="0" rank="0" text="" dxfId="0">
      <formula>OR(LEFT(E55,2)="AT",LEFT(E55,4)="PLAN")</formula>
    </cfRule>
    <cfRule type="expression" priority="13" aboveAverage="0" equalAverage="0" bottom="0" percent="0" rank="0" text="" dxfId="1">
      <formula>LEFT(E55,5)="WATCH"</formula>
    </cfRule>
    <cfRule type="expression" priority="14" aboveAverage="0" equalAverage="0" bottom="0" percent="0" rank="0" text="" dxfId="2">
      <formula>LEFT(E55,6)="Stable"</formula>
    </cfRule>
  </conditionalFormatting>
  <conditionalFormatting sqref="E12:E42">
    <cfRule type="expression" priority="15" aboveAverage="0" equalAverage="0" bottom="0" percent="0" rank="0" text="" dxfId="0">
      <formula>AND(ISNUMBER(E12),OR(AND(E$44&lt;&gt;"",E12&lt;E$44),AND(E$47&lt;&gt;"",E12&gt;E$47)))</formula>
    </cfRule>
    <cfRule type="expression" priority="16" aboveAverage="0" equalAverage="0" bottom="0" percent="0" rank="0" text="" dxfId="4">
      <formula>AND(ISNUMBER(E12),OR(AND(E$45&lt;&gt;"",E12&lt;E$45),AND(E$46&lt;&gt;"",E12&gt;E$46)))</formula>
    </cfRule>
  </conditionalFormatting>
  <conditionalFormatting sqref="F55">
    <cfRule type="expression" priority="17" aboveAverage="0" equalAverage="0" bottom="0" percent="0" rank="0" text="" dxfId="0">
      <formula>OR(LEFT(F55,2)="AT",LEFT(F55,4)="PLAN")</formula>
    </cfRule>
    <cfRule type="expression" priority="18" aboveAverage="0" equalAverage="0" bottom="0" percent="0" rank="0" text="" dxfId="1">
      <formula>LEFT(F55,5)="WATCH"</formula>
    </cfRule>
    <cfRule type="expression" priority="19" aboveAverage="0" equalAverage="0" bottom="0" percent="0" rank="0" text="" dxfId="2">
      <formula>LEFT(F55,6)="Stable"</formula>
    </cfRule>
  </conditionalFormatting>
  <conditionalFormatting sqref="F12:F42">
    <cfRule type="expression" priority="20" aboveAverage="0" equalAverage="0" bottom="0" percent="0" rank="0" text="" dxfId="0">
      <formula>AND(ISNUMBER(F12),OR(AND(F$44&lt;&gt;"",F12&lt;F$44),AND(F$47&lt;&gt;"",F12&gt;F$47)))</formula>
    </cfRule>
    <cfRule type="expression" priority="21" aboveAverage="0" equalAverage="0" bottom="0" percent="0" rank="0" text="" dxfId="4">
      <formula>AND(ISNUMBER(F12),OR(AND(F$45&lt;&gt;"",F12&lt;F$45),AND(F$46&lt;&gt;"",F12&gt;F$46)))</formula>
    </cfRule>
  </conditionalFormatting>
  <conditionalFormatting sqref="G55">
    <cfRule type="expression" priority="22" aboveAverage="0" equalAverage="0" bottom="0" percent="0" rank="0" text="" dxfId="0">
      <formula>OR(LEFT(G55,2)="AT",LEFT(G55,4)="PLAN")</formula>
    </cfRule>
    <cfRule type="expression" priority="23" aboveAverage="0" equalAverage="0" bottom="0" percent="0" rank="0" text="" dxfId="1">
      <formula>LEFT(G55,5)="WATCH"</formula>
    </cfRule>
    <cfRule type="expression" priority="24" aboveAverage="0" equalAverage="0" bottom="0" percent="0" rank="0" text="" dxfId="2">
      <formula>LEFT(G55,6)="Stable"</formula>
    </cfRule>
  </conditionalFormatting>
  <conditionalFormatting sqref="G12:G42">
    <cfRule type="expression" priority="25" aboveAverage="0" equalAverage="0" bottom="0" percent="0" rank="0" text="" dxfId="0">
      <formula>AND(ISNUMBER(G12),OR(AND(G$44&lt;&gt;"",G12&lt;G$44),AND(G$47&lt;&gt;"",G12&gt;G$47)))</formula>
    </cfRule>
    <cfRule type="expression" priority="26" aboveAverage="0" equalAverage="0" bottom="0" percent="0" rank="0" text="" dxfId="4">
      <formula>AND(ISNUMBER(G12),OR(AND(G$45&lt;&gt;"",G12&lt;G$45),AND(G$46&lt;&gt;"",G12&gt;G$46)))</formula>
    </cfRule>
  </conditionalFormatting>
  <conditionalFormatting sqref="H55">
    <cfRule type="expression" priority="27" aboveAverage="0" equalAverage="0" bottom="0" percent="0" rank="0" text="" dxfId="0">
      <formula>OR(LEFT(H55,2)="AT",LEFT(H55,4)="PLAN")</formula>
    </cfRule>
    <cfRule type="expression" priority="28" aboveAverage="0" equalAverage="0" bottom="0" percent="0" rank="0" text="" dxfId="1">
      <formula>LEFT(H55,5)="WATCH"</formula>
    </cfRule>
    <cfRule type="expression" priority="29" aboveAverage="0" equalAverage="0" bottom="0" percent="0" rank="0" text="" dxfId="2">
      <formula>LEFT(H55,6)="Stable"</formula>
    </cfRule>
  </conditionalFormatting>
  <conditionalFormatting sqref="H12:H42">
    <cfRule type="expression" priority="30" aboveAverage="0" equalAverage="0" bottom="0" percent="0" rank="0" text="" dxfId="0">
      <formula>AND(ISNUMBER(H12),OR(AND(H$44&lt;&gt;"",H12&lt;H$44),AND(H$47&lt;&gt;"",H12&gt;H$47)))</formula>
    </cfRule>
    <cfRule type="expression" priority="31" aboveAverage="0" equalAverage="0" bottom="0" percent="0" rank="0" text="" dxfId="4">
      <formula>AND(ISNUMBER(H12),OR(AND(H$45&lt;&gt;"",H12&lt;H$45),AND(H$46&lt;&gt;"",H12&gt;H$46)))</formula>
    </cfRule>
  </conditionalFormatting>
  <conditionalFormatting sqref="I55">
    <cfRule type="expression" priority="32" aboveAverage="0" equalAverage="0" bottom="0" percent="0" rank="0" text="" dxfId="0">
      <formula>OR(LEFT(I55,2)="AT",LEFT(I55,4)="PLAN")</formula>
    </cfRule>
    <cfRule type="expression" priority="33" aboveAverage="0" equalAverage="0" bottom="0" percent="0" rank="0" text="" dxfId="1">
      <formula>LEFT(I55,5)="WATCH"</formula>
    </cfRule>
    <cfRule type="expression" priority="34" aboveAverage="0" equalAverage="0" bottom="0" percent="0" rank="0" text="" dxfId="2">
      <formula>LEFT(I55,6)="Stable"</formula>
    </cfRule>
  </conditionalFormatting>
  <conditionalFormatting sqref="I12:I42">
    <cfRule type="expression" priority="35" aboveAverage="0" equalAverage="0" bottom="0" percent="0" rank="0" text="" dxfId="0">
      <formula>AND(ISNUMBER(I12),OR(AND(I$44&lt;&gt;"",I12&lt;I$44),AND(I$47&lt;&gt;"",I12&gt;I$47)))</formula>
    </cfRule>
    <cfRule type="expression" priority="36" aboveAverage="0" equalAverage="0" bottom="0" percent="0" rank="0" text="" dxfId="4">
      <formula>AND(ISNUMBER(I12),OR(AND(I$45&lt;&gt;"",I12&lt;I$45),AND(I$46&lt;&gt;"",I12&gt;I$46)))</formula>
    </cfRule>
  </conditionalFormatting>
  <conditionalFormatting sqref="J55">
    <cfRule type="expression" priority="37" aboveAverage="0" equalAverage="0" bottom="0" percent="0" rank="0" text="" dxfId="0">
      <formula>OR(LEFT(J55,2)="AT",LEFT(J55,4)="PLAN")</formula>
    </cfRule>
    <cfRule type="expression" priority="38" aboveAverage="0" equalAverage="0" bottom="0" percent="0" rank="0" text="" dxfId="1">
      <formula>LEFT(J55,5)="WATCH"</formula>
    </cfRule>
    <cfRule type="expression" priority="39" aboveAverage="0" equalAverage="0" bottom="0" percent="0" rank="0" text="" dxfId="2">
      <formula>LEFT(J55,6)="Stable"</formula>
    </cfRule>
  </conditionalFormatting>
  <conditionalFormatting sqref="J12:J42">
    <cfRule type="expression" priority="40" aboveAverage="0" equalAverage="0" bottom="0" percent="0" rank="0" text="" dxfId="0">
      <formula>AND(ISNUMBER(J12),OR(AND(J$44&lt;&gt;"",J12&lt;J$44),AND(J$47&lt;&gt;"",J12&gt;J$47)))</formula>
    </cfRule>
    <cfRule type="expression" priority="41" aboveAverage="0" equalAverage="0" bottom="0" percent="0" rank="0" text="" dxfId="4">
      <formula>AND(ISNUMBER(J12),OR(AND(J$45&lt;&gt;"",J12&lt;J$45),AND(J$46&lt;&gt;"",J12&gt;J$46)))</formula>
    </cfRule>
  </conditionalFormatting>
  <conditionalFormatting sqref="K55">
    <cfRule type="expression" priority="42" aboveAverage="0" equalAverage="0" bottom="0" percent="0" rank="0" text="" dxfId="0">
      <formula>OR(LEFT(K55,2)="AT",LEFT(K55,4)="PLAN")</formula>
    </cfRule>
    <cfRule type="expression" priority="43" aboveAverage="0" equalAverage="0" bottom="0" percent="0" rank="0" text="" dxfId="1">
      <formula>LEFT(K55,5)="WATCH"</formula>
    </cfRule>
    <cfRule type="expression" priority="44" aboveAverage="0" equalAverage="0" bottom="0" percent="0" rank="0" text="" dxfId="2">
      <formula>LEFT(K55,6)="Stable"</formula>
    </cfRule>
  </conditionalFormatting>
  <conditionalFormatting sqref="K12:K42">
    <cfRule type="expression" priority="45" aboveAverage="0" equalAverage="0" bottom="0" percent="0" rank="0" text="" dxfId="0">
      <formula>AND(ISNUMBER(K12),OR(AND(K$44&lt;&gt;"",K12&lt;K$44),AND(K$47&lt;&gt;"",K12&gt;K$47)))</formula>
    </cfRule>
    <cfRule type="expression" priority="46" aboveAverage="0" equalAverage="0" bottom="0" percent="0" rank="0" text="" dxfId="4">
      <formula>AND(ISNUMBER(K12),OR(AND(K$45&lt;&gt;"",K12&lt;K$45),AND(K$46&lt;&gt;"",K12&gt;K$46)))</formula>
    </cfRule>
  </conditionalFormatting>
  <conditionalFormatting sqref="L55">
    <cfRule type="expression" priority="47" aboveAverage="0" equalAverage="0" bottom="0" percent="0" rank="0" text="" dxfId="0">
      <formula>OR(LEFT(L55,2)="AT",LEFT(L55,4)="PLAN")</formula>
    </cfRule>
    <cfRule type="expression" priority="48" aboveAverage="0" equalAverage="0" bottom="0" percent="0" rank="0" text="" dxfId="1">
      <formula>LEFT(L55,5)="WATCH"</formula>
    </cfRule>
    <cfRule type="expression" priority="49" aboveAverage="0" equalAverage="0" bottom="0" percent="0" rank="0" text="" dxfId="2">
      <formula>LEFT(L55,6)="Stable"</formula>
    </cfRule>
  </conditionalFormatting>
  <conditionalFormatting sqref="L12:L42">
    <cfRule type="expression" priority="50" aboveAverage="0" equalAverage="0" bottom="0" percent="0" rank="0" text="" dxfId="0">
      <formula>AND(ISNUMBER(L12),OR(AND(L$44&lt;&gt;"",L12&lt;L$44),AND(L$47&lt;&gt;"",L12&gt;L$47)))</formula>
    </cfRule>
    <cfRule type="expression" priority="51" aboveAverage="0" equalAverage="0" bottom="0" percent="0" rank="0" text="" dxfId="4">
      <formula>AND(ISNUMBER(L12),OR(AND(L$45&lt;&gt;"",L12&lt;L$45),AND(L$46&lt;&gt;"",L12&gt;L$46)))</formula>
    </cfRule>
  </conditionalFormatting>
  <dataValidations count="1">
    <dataValidation allowBlank="true" errorStyle="stop" operator="between" showDropDown="false" showErrorMessage="false" showInputMessage="false" sqref="C5" type="list">
      <formula1>"F-01,F-02,F-03,F-04"</formula1>
      <formula2>0</formula2>
    </dataValidation>
  </dataValidations>
  <printOptions headings="false" gridLines="false" gridLinesSet="true" horizontalCentered="fals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&amp;L&amp;8Form F-MT-02 Rev 0 · &amp;A</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5"/>
    <col collapsed="false" customWidth="true" hidden="false" outlineLevel="0" max="3" min="3" style="0" width="46"/>
    <col collapsed="false" customWidth="true" hidden="false" outlineLevel="0" max="4" min="4" style="0" width="30"/>
    <col collapsed="false" customWidth="true" hidden="false" outlineLevel="0" max="6" min="5" style="0" width="8"/>
    <col collapsed="false" customWidth="true" hidden="false" outlineLevel="0" max="7" min="7" style="0" width="10"/>
    <col collapsed="false" customWidth="true" hidden="false" outlineLevel="0" max="12" min="8" style="0" width="9"/>
    <col collapsed="false" customWidth="true" hidden="false" outlineLevel="0" max="13" min="13" style="0" width="46"/>
  </cols>
  <sheetData>
    <row r="1" customFormat="false" ht="15" hidden="false" customHeight="true" outlineLevel="0" collapsed="false">
      <c r="A1" s="7" t="s">
        <v>77</v>
      </c>
      <c r="B1" s="7"/>
      <c r="C1" s="7"/>
      <c r="D1" s="7"/>
      <c r="E1" s="7"/>
      <c r="F1" s="7"/>
      <c r="G1" s="7"/>
      <c r="H1" s="7"/>
      <c r="I1" s="7"/>
      <c r="J1" s="7"/>
      <c r="K1" s="7"/>
      <c r="L1" s="7"/>
      <c r="M1" s="7"/>
    </row>
    <row r="2" customFormat="false" ht="15" hidden="false" customHeight="true" outlineLevel="0" collapsed="false">
      <c r="A2" s="40" t="s">
        <v>78</v>
      </c>
      <c r="B2" s="40"/>
      <c r="C2" s="40"/>
      <c r="D2" s="40"/>
      <c r="E2" s="40"/>
      <c r="F2" s="40"/>
      <c r="G2" s="40"/>
      <c r="H2" s="40"/>
      <c r="I2" s="40"/>
      <c r="J2" s="40"/>
      <c r="K2" s="40"/>
      <c r="L2" s="40"/>
      <c r="M2" s="40"/>
    </row>
    <row r="3" customFormat="false" ht="15" hidden="false" customHeight="true" outlineLevel="0" collapsed="false">
      <c r="A3" s="41" t="s">
        <v>79</v>
      </c>
      <c r="B3" s="41"/>
      <c r="C3" s="41"/>
      <c r="D3" s="41"/>
      <c r="E3" s="41"/>
      <c r="F3" s="41"/>
      <c r="G3" s="41"/>
      <c r="H3" s="41"/>
      <c r="I3" s="41"/>
      <c r="J3" s="41"/>
      <c r="K3" s="41"/>
      <c r="L3" s="41"/>
      <c r="M3" s="41"/>
    </row>
    <row r="4" customFormat="false" ht="30" hidden="false" customHeight="true" outlineLevel="0" collapsed="false">
      <c r="A4" s="15" t="s">
        <v>32</v>
      </c>
      <c r="B4" s="15" t="s">
        <v>33</v>
      </c>
      <c r="C4" s="15" t="s">
        <v>34</v>
      </c>
      <c r="D4" s="15" t="s">
        <v>35</v>
      </c>
      <c r="E4" s="15" t="s">
        <v>36</v>
      </c>
      <c r="F4" s="15" t="s">
        <v>80</v>
      </c>
      <c r="G4" s="15" t="s">
        <v>81</v>
      </c>
      <c r="H4" s="15" t="s">
        <v>82</v>
      </c>
      <c r="I4" s="15" t="s">
        <v>64</v>
      </c>
      <c r="J4" s="15" t="s">
        <v>65</v>
      </c>
      <c r="K4" s="15" t="s">
        <v>66</v>
      </c>
      <c r="L4" s="15" t="s">
        <v>67</v>
      </c>
      <c r="M4" s="15" t="s">
        <v>83</v>
      </c>
    </row>
    <row r="5" customFormat="false" ht="30" hidden="false" customHeight="true" outlineLevel="0" collapsed="false">
      <c r="A5" s="33" t="n">
        <v>1</v>
      </c>
      <c r="B5" s="17" t="s">
        <v>84</v>
      </c>
      <c r="C5" s="17" t="s">
        <v>85</v>
      </c>
      <c r="D5" s="17" t="s">
        <v>86</v>
      </c>
      <c r="E5" s="33" t="s">
        <v>87</v>
      </c>
      <c r="F5" s="33" t="s">
        <v>88</v>
      </c>
      <c r="G5" s="30" t="s">
        <v>89</v>
      </c>
      <c r="H5" s="30" t="n">
        <v>40</v>
      </c>
      <c r="I5" s="30" t="n">
        <v>30</v>
      </c>
      <c r="J5" s="30" t="n">
        <v>34</v>
      </c>
      <c r="K5" s="30" t="n">
        <v>46</v>
      </c>
      <c r="L5" s="30" t="n">
        <v>50</v>
      </c>
      <c r="M5" s="17" t="s">
        <v>90</v>
      </c>
    </row>
    <row r="6" customFormat="false" ht="30" hidden="false" customHeight="true" outlineLevel="0" collapsed="false">
      <c r="A6" s="33" t="n">
        <v>2</v>
      </c>
      <c r="B6" s="17" t="s">
        <v>84</v>
      </c>
      <c r="C6" s="17" t="s">
        <v>91</v>
      </c>
      <c r="D6" s="17" t="s">
        <v>92</v>
      </c>
      <c r="E6" s="33" t="s">
        <v>87</v>
      </c>
      <c r="F6" s="33" t="s">
        <v>88</v>
      </c>
      <c r="G6" s="30" t="s">
        <v>89</v>
      </c>
      <c r="H6" s="30" t="n">
        <v>60</v>
      </c>
      <c r="I6" s="30" t="n">
        <v>48</v>
      </c>
      <c r="J6" s="30" t="n">
        <v>53</v>
      </c>
      <c r="K6" s="30" t="n">
        <v>70</v>
      </c>
      <c r="L6" s="30" t="n">
        <v>75</v>
      </c>
      <c r="M6" s="17" t="s">
        <v>93</v>
      </c>
    </row>
    <row r="7" customFormat="false" ht="30" hidden="false" customHeight="true" outlineLevel="0" collapsed="false">
      <c r="A7" s="33" t="n">
        <v>3</v>
      </c>
      <c r="B7" s="17" t="s">
        <v>84</v>
      </c>
      <c r="C7" s="17" t="s">
        <v>94</v>
      </c>
      <c r="D7" s="17" t="s">
        <v>95</v>
      </c>
      <c r="E7" s="33" t="s">
        <v>96</v>
      </c>
      <c r="F7" s="33" t="s">
        <v>88</v>
      </c>
      <c r="G7" s="30" t="s">
        <v>89</v>
      </c>
      <c r="H7" s="30" t="n">
        <v>70</v>
      </c>
      <c r="I7" s="30" t="n">
        <v>40</v>
      </c>
      <c r="J7" s="30" t="n">
        <v>55</v>
      </c>
      <c r="K7" s="30" t="n">
        <v>85</v>
      </c>
      <c r="L7" s="30" t="n">
        <v>95</v>
      </c>
      <c r="M7" s="17" t="s">
        <v>97</v>
      </c>
    </row>
    <row r="8" customFormat="false" ht="30" hidden="false" customHeight="true" outlineLevel="0" collapsed="false">
      <c r="A8" s="33" t="n">
        <v>4</v>
      </c>
      <c r="B8" s="17" t="s">
        <v>84</v>
      </c>
      <c r="C8" s="17" t="s">
        <v>98</v>
      </c>
      <c r="D8" s="17" t="s">
        <v>99</v>
      </c>
      <c r="E8" s="33" t="s">
        <v>100</v>
      </c>
      <c r="F8" s="33" t="s">
        <v>88</v>
      </c>
      <c r="G8" s="30" t="s">
        <v>89</v>
      </c>
      <c r="H8" s="30" t="n">
        <v>1.5</v>
      </c>
      <c r="I8" s="21"/>
      <c r="J8" s="21"/>
      <c r="K8" s="30" t="n">
        <v>2.8</v>
      </c>
      <c r="L8" s="30" t="n">
        <v>4.5</v>
      </c>
      <c r="M8" s="17" t="s">
        <v>101</v>
      </c>
    </row>
    <row r="9" customFormat="false" ht="30" hidden="false" customHeight="true" outlineLevel="0" collapsed="false">
      <c r="A9" s="33" t="n">
        <v>5</v>
      </c>
      <c r="B9" s="17" t="s">
        <v>84</v>
      </c>
      <c r="C9" s="17" t="s">
        <v>102</v>
      </c>
      <c r="D9" s="17" t="s">
        <v>103</v>
      </c>
      <c r="E9" s="33" t="s">
        <v>104</v>
      </c>
      <c r="F9" s="33" t="s">
        <v>88</v>
      </c>
      <c r="G9" s="30" t="s">
        <v>89</v>
      </c>
      <c r="H9" s="30" t="n">
        <v>50</v>
      </c>
      <c r="I9" s="21"/>
      <c r="J9" s="21"/>
      <c r="K9" s="30" t="n">
        <v>70</v>
      </c>
      <c r="L9" s="30" t="n">
        <v>85</v>
      </c>
      <c r="M9" s="17" t="s">
        <v>105</v>
      </c>
    </row>
    <row r="10" customFormat="false" ht="30" hidden="false" customHeight="true" outlineLevel="0" collapsed="false">
      <c r="A10" s="33" t="n">
        <v>6</v>
      </c>
      <c r="B10" s="17" t="s">
        <v>84</v>
      </c>
      <c r="C10" s="17" t="s">
        <v>106</v>
      </c>
      <c r="D10" s="17" t="s">
        <v>107</v>
      </c>
      <c r="E10" s="33" t="s">
        <v>108</v>
      </c>
      <c r="F10" s="33" t="s">
        <v>88</v>
      </c>
      <c r="G10" s="30" t="s">
        <v>89</v>
      </c>
      <c r="H10" s="30" t="n">
        <v>0</v>
      </c>
      <c r="I10" s="21"/>
      <c r="J10" s="21"/>
      <c r="K10" s="30" t="n">
        <v>1</v>
      </c>
      <c r="L10" s="30" t="n">
        <v>3</v>
      </c>
      <c r="M10" s="17" t="s">
        <v>109</v>
      </c>
    </row>
    <row r="11" customFormat="false" ht="30" hidden="false" customHeight="true" outlineLevel="0" collapsed="false">
      <c r="A11" s="33" t="n">
        <v>7</v>
      </c>
      <c r="B11" s="17" t="s">
        <v>84</v>
      </c>
      <c r="C11" s="17" t="s">
        <v>110</v>
      </c>
      <c r="D11" s="17" t="s">
        <v>111</v>
      </c>
      <c r="E11" s="33" t="s">
        <v>112</v>
      </c>
      <c r="F11" s="33" t="s">
        <v>88</v>
      </c>
      <c r="G11" s="30" t="s">
        <v>89</v>
      </c>
      <c r="H11" s="30" t="n">
        <v>55</v>
      </c>
      <c r="I11" s="21"/>
      <c r="J11" s="21"/>
      <c r="K11" s="30" t="n">
        <v>75</v>
      </c>
      <c r="L11" s="30" t="n">
        <v>90</v>
      </c>
      <c r="M11" s="17" t="s">
        <v>113</v>
      </c>
    </row>
    <row r="12" customFormat="false" ht="30" hidden="false" customHeight="true" outlineLevel="0" collapsed="false">
      <c r="A12" s="33" t="n">
        <v>8</v>
      </c>
      <c r="B12" s="17" t="s">
        <v>84</v>
      </c>
      <c r="C12" s="17" t="s">
        <v>114</v>
      </c>
      <c r="D12" s="17" t="s">
        <v>111</v>
      </c>
      <c r="E12" s="33" t="s">
        <v>112</v>
      </c>
      <c r="F12" s="33" t="s">
        <v>88</v>
      </c>
      <c r="G12" s="30" t="s">
        <v>89</v>
      </c>
      <c r="H12" s="30" t="n">
        <v>45</v>
      </c>
      <c r="I12" s="21"/>
      <c r="J12" s="21"/>
      <c r="K12" s="30" t="n">
        <v>70</v>
      </c>
      <c r="L12" s="30" t="n">
        <v>85</v>
      </c>
      <c r="M12" s="17" t="s">
        <v>115</v>
      </c>
    </row>
    <row r="13" customFormat="false" ht="30" hidden="false" customHeight="true" outlineLevel="0" collapsed="false">
      <c r="A13" s="33" t="n">
        <v>9</v>
      </c>
      <c r="B13" s="17" t="s">
        <v>116</v>
      </c>
      <c r="C13" s="17" t="s">
        <v>117</v>
      </c>
      <c r="D13" s="17" t="s">
        <v>118</v>
      </c>
      <c r="E13" s="33" t="s">
        <v>104</v>
      </c>
      <c r="F13" s="33" t="s">
        <v>88</v>
      </c>
      <c r="G13" s="30" t="s">
        <v>89</v>
      </c>
      <c r="H13" s="30" t="n">
        <v>0</v>
      </c>
      <c r="I13" s="30" t="n">
        <v>-8</v>
      </c>
      <c r="J13" s="30" t="n">
        <v>-5</v>
      </c>
      <c r="K13" s="30" t="n">
        <v>5</v>
      </c>
      <c r="L13" s="30" t="n">
        <v>8</v>
      </c>
      <c r="M13" s="17" t="s">
        <v>119</v>
      </c>
    </row>
    <row r="14" customFormat="false" ht="30" hidden="false" customHeight="true" outlineLevel="0" collapsed="false">
      <c r="A14" s="33" t="n">
        <v>10</v>
      </c>
      <c r="B14" s="17" t="s">
        <v>116</v>
      </c>
      <c r="C14" s="17" t="s">
        <v>120</v>
      </c>
      <c r="D14" s="17" t="s">
        <v>118</v>
      </c>
      <c r="E14" s="33" t="s">
        <v>104</v>
      </c>
      <c r="F14" s="33" t="s">
        <v>88</v>
      </c>
      <c r="G14" s="30" t="s">
        <v>89</v>
      </c>
      <c r="H14" s="30" t="n">
        <v>0</v>
      </c>
      <c r="I14" s="30" t="n">
        <v>-8</v>
      </c>
      <c r="J14" s="30" t="n">
        <v>-5</v>
      </c>
      <c r="K14" s="30" t="n">
        <v>5</v>
      </c>
      <c r="L14" s="30" t="n">
        <v>8</v>
      </c>
      <c r="M14" s="17" t="s">
        <v>115</v>
      </c>
    </row>
    <row r="15" customFormat="false" ht="30" hidden="false" customHeight="true" outlineLevel="0" collapsed="false">
      <c r="A15" s="33" t="n">
        <v>11</v>
      </c>
      <c r="B15" s="17" t="s">
        <v>116</v>
      </c>
      <c r="C15" s="17" t="s">
        <v>121</v>
      </c>
      <c r="D15" s="17" t="s">
        <v>122</v>
      </c>
      <c r="E15" s="33" t="s">
        <v>104</v>
      </c>
      <c r="F15" s="33" t="s">
        <v>88</v>
      </c>
      <c r="G15" s="30" t="s">
        <v>89</v>
      </c>
      <c r="H15" s="30" t="n">
        <v>0</v>
      </c>
      <c r="I15" s="30" t="n">
        <v>-8</v>
      </c>
      <c r="J15" s="30" t="n">
        <v>-5</v>
      </c>
      <c r="K15" s="30" t="n">
        <v>5</v>
      </c>
      <c r="L15" s="30" t="n">
        <v>8</v>
      </c>
      <c r="M15" s="17" t="s">
        <v>123</v>
      </c>
    </row>
    <row r="16" customFormat="false" ht="30" hidden="false" customHeight="true" outlineLevel="0" collapsed="false">
      <c r="A16" s="33" t="n">
        <v>12</v>
      </c>
      <c r="B16" s="17" t="s">
        <v>124</v>
      </c>
      <c r="C16" s="17" t="s">
        <v>125</v>
      </c>
      <c r="D16" s="17" t="s">
        <v>126</v>
      </c>
      <c r="E16" s="33" t="s">
        <v>104</v>
      </c>
      <c r="F16" s="33" t="s">
        <v>88</v>
      </c>
      <c r="G16" s="30" t="s">
        <v>89</v>
      </c>
      <c r="H16" s="30" t="n">
        <v>70</v>
      </c>
      <c r="I16" s="21"/>
      <c r="J16" s="21"/>
      <c r="K16" s="30" t="n">
        <v>100</v>
      </c>
      <c r="L16" s="30" t="n">
        <v>120</v>
      </c>
      <c r="M16" s="17" t="s">
        <v>127</v>
      </c>
    </row>
    <row r="17" customFormat="false" ht="30" hidden="false" customHeight="true" outlineLevel="0" collapsed="false">
      <c r="A17" s="33" t="n">
        <v>13</v>
      </c>
      <c r="B17" s="17" t="s">
        <v>124</v>
      </c>
      <c r="C17" s="17" t="s">
        <v>128</v>
      </c>
      <c r="D17" s="17" t="s">
        <v>129</v>
      </c>
      <c r="E17" s="33"/>
      <c r="F17" s="33" t="s">
        <v>130</v>
      </c>
      <c r="G17" s="30" t="s">
        <v>89</v>
      </c>
      <c r="H17" s="21"/>
      <c r="I17" s="21"/>
      <c r="J17" s="21"/>
      <c r="K17" s="21"/>
      <c r="L17" s="21"/>
      <c r="M17" s="17" t="s">
        <v>131</v>
      </c>
    </row>
    <row r="18" customFormat="false" ht="30" hidden="false" customHeight="true" outlineLevel="0" collapsed="false">
      <c r="A18" s="33" t="n">
        <v>14</v>
      </c>
      <c r="B18" s="17" t="s">
        <v>132</v>
      </c>
      <c r="C18" s="17" t="s">
        <v>133</v>
      </c>
      <c r="D18" s="17" t="s">
        <v>134</v>
      </c>
      <c r="E18" s="33" t="s">
        <v>135</v>
      </c>
      <c r="F18" s="33" t="s">
        <v>88</v>
      </c>
      <c r="G18" s="30" t="s">
        <v>89</v>
      </c>
      <c r="H18" s="30" t="n">
        <v>80</v>
      </c>
      <c r="I18" s="21"/>
      <c r="J18" s="21"/>
      <c r="K18" s="30" t="n">
        <v>110</v>
      </c>
      <c r="L18" s="30" t="n">
        <v>130</v>
      </c>
      <c r="M18" s="17" t="s">
        <v>136</v>
      </c>
    </row>
    <row r="19" customFormat="false" ht="30" hidden="false" customHeight="true" outlineLevel="0" collapsed="false">
      <c r="A19" s="33" t="n">
        <v>15</v>
      </c>
      <c r="B19" s="17" t="s">
        <v>132</v>
      </c>
      <c r="C19" s="17" t="s">
        <v>137</v>
      </c>
      <c r="D19" s="17" t="s">
        <v>138</v>
      </c>
      <c r="E19" s="33" t="s">
        <v>139</v>
      </c>
      <c r="F19" s="33" t="s">
        <v>88</v>
      </c>
      <c r="G19" s="30" t="s">
        <v>89</v>
      </c>
      <c r="H19" s="30" t="n">
        <v>30</v>
      </c>
      <c r="I19" s="21"/>
      <c r="J19" s="21"/>
      <c r="K19" s="30" t="n">
        <v>36</v>
      </c>
      <c r="L19" s="30" t="n">
        <v>40</v>
      </c>
      <c r="M19" s="17" t="s">
        <v>140</v>
      </c>
    </row>
    <row r="20" customFormat="false" ht="30" hidden="false" customHeight="true" outlineLevel="0" collapsed="false">
      <c r="A20" s="33" t="n">
        <v>16</v>
      </c>
      <c r="B20" s="17" t="s">
        <v>132</v>
      </c>
      <c r="C20" s="17" t="s">
        <v>141</v>
      </c>
      <c r="D20" s="17" t="s">
        <v>142</v>
      </c>
      <c r="E20" s="33" t="s">
        <v>104</v>
      </c>
      <c r="F20" s="33" t="s">
        <v>88</v>
      </c>
      <c r="G20" s="30" t="s">
        <v>89</v>
      </c>
      <c r="H20" s="30" t="n">
        <v>45</v>
      </c>
      <c r="I20" s="21"/>
      <c r="J20" s="21"/>
      <c r="K20" s="30" t="n">
        <v>55</v>
      </c>
      <c r="L20" s="30" t="n">
        <v>60</v>
      </c>
      <c r="M20" s="17" t="s">
        <v>143</v>
      </c>
    </row>
    <row r="21" customFormat="false" ht="30" hidden="false" customHeight="true" outlineLevel="0" collapsed="false">
      <c r="A21" s="33" t="n">
        <v>17</v>
      </c>
      <c r="B21" s="17" t="s">
        <v>132</v>
      </c>
      <c r="C21" s="17" t="s">
        <v>144</v>
      </c>
      <c r="D21" s="17" t="s">
        <v>145</v>
      </c>
      <c r="E21" s="33"/>
      <c r="F21" s="33" t="s">
        <v>130</v>
      </c>
      <c r="G21" s="30" t="s">
        <v>89</v>
      </c>
      <c r="H21" s="21"/>
      <c r="I21" s="21"/>
      <c r="J21" s="21"/>
      <c r="K21" s="21"/>
      <c r="L21" s="21"/>
      <c r="M21" s="17" t="s">
        <v>146</v>
      </c>
    </row>
    <row r="22" customFormat="false" ht="30" hidden="false" customHeight="true" outlineLevel="0" collapsed="false">
      <c r="A22" s="33" t="n">
        <v>18</v>
      </c>
      <c r="B22" s="17" t="s">
        <v>147</v>
      </c>
      <c r="C22" s="17" t="s">
        <v>148</v>
      </c>
      <c r="D22" s="17" t="s">
        <v>149</v>
      </c>
      <c r="E22" s="33" t="s">
        <v>96</v>
      </c>
      <c r="F22" s="33" t="s">
        <v>88</v>
      </c>
      <c r="G22" s="30" t="s">
        <v>89</v>
      </c>
      <c r="H22" s="30" t="n">
        <v>60</v>
      </c>
      <c r="I22" s="21"/>
      <c r="J22" s="21"/>
      <c r="K22" s="30" t="n">
        <v>80</v>
      </c>
      <c r="L22" s="30" t="n">
        <v>90</v>
      </c>
      <c r="M22" s="17" t="s">
        <v>150</v>
      </c>
    </row>
    <row r="23" customFormat="false" ht="30" hidden="false" customHeight="true" outlineLevel="0" collapsed="false">
      <c r="A23" s="33" t="n">
        <v>19</v>
      </c>
      <c r="B23" s="17" t="s">
        <v>147</v>
      </c>
      <c r="C23" s="17" t="s">
        <v>151</v>
      </c>
      <c r="D23" s="17" t="s">
        <v>152</v>
      </c>
      <c r="E23" s="33"/>
      <c r="F23" s="33" t="s">
        <v>130</v>
      </c>
      <c r="G23" s="30" t="s">
        <v>89</v>
      </c>
      <c r="H23" s="21"/>
      <c r="I23" s="21"/>
      <c r="J23" s="21"/>
      <c r="K23" s="21"/>
      <c r="L23" s="21"/>
      <c r="M23" s="17" t="s">
        <v>153</v>
      </c>
    </row>
    <row r="24" customFormat="false" ht="30" hidden="false" customHeight="true" outlineLevel="0" collapsed="false">
      <c r="A24" s="33" t="n">
        <v>20</v>
      </c>
      <c r="B24" s="17" t="s">
        <v>154</v>
      </c>
      <c r="C24" s="17" t="s">
        <v>155</v>
      </c>
      <c r="D24" s="17" t="s">
        <v>149</v>
      </c>
      <c r="E24" s="33" t="s">
        <v>96</v>
      </c>
      <c r="F24" s="33" t="s">
        <v>88</v>
      </c>
      <c r="G24" s="30" t="s">
        <v>89</v>
      </c>
      <c r="H24" s="30" t="n">
        <v>70</v>
      </c>
      <c r="I24" s="30" t="n">
        <v>45</v>
      </c>
      <c r="J24" s="30" t="n">
        <v>55</v>
      </c>
      <c r="K24" s="30" t="n">
        <v>85</v>
      </c>
      <c r="L24" s="30" t="n">
        <v>95</v>
      </c>
      <c r="M24" s="17" t="s">
        <v>156</v>
      </c>
    </row>
    <row r="25" customFormat="false" ht="30" hidden="false" customHeight="true" outlineLevel="0" collapsed="false">
      <c r="A25" s="33" t="n">
        <v>21</v>
      </c>
      <c r="B25" s="17" t="s">
        <v>154</v>
      </c>
      <c r="C25" s="17" t="s">
        <v>157</v>
      </c>
      <c r="D25" s="17" t="s">
        <v>99</v>
      </c>
      <c r="E25" s="33" t="s">
        <v>100</v>
      </c>
      <c r="F25" s="33" t="s">
        <v>88</v>
      </c>
      <c r="G25" s="30" t="s">
        <v>89</v>
      </c>
      <c r="H25" s="30" t="n">
        <v>1.5</v>
      </c>
      <c r="I25" s="21"/>
      <c r="J25" s="21"/>
      <c r="K25" s="30" t="n">
        <v>2.8</v>
      </c>
      <c r="L25" s="30" t="n">
        <v>4.5</v>
      </c>
      <c r="M25" s="17" t="s">
        <v>158</v>
      </c>
    </row>
    <row r="26" customFormat="false" ht="30" hidden="false" customHeight="true" outlineLevel="0" collapsed="false">
      <c r="A26" s="33" t="n">
        <v>22</v>
      </c>
      <c r="B26" s="17" t="s">
        <v>159</v>
      </c>
      <c r="C26" s="17" t="s">
        <v>160</v>
      </c>
      <c r="D26" s="17" t="s">
        <v>161</v>
      </c>
      <c r="E26" s="33" t="s">
        <v>104</v>
      </c>
      <c r="F26" s="33" t="s">
        <v>88</v>
      </c>
      <c r="G26" s="30" t="s">
        <v>162</v>
      </c>
      <c r="H26" s="30" t="n">
        <v>28</v>
      </c>
      <c r="I26" s="21"/>
      <c r="J26" s="21"/>
      <c r="K26" s="30" t="n">
        <v>32</v>
      </c>
      <c r="L26" s="30" t="n">
        <v>35</v>
      </c>
      <c r="M26" s="17" t="s">
        <v>163</v>
      </c>
    </row>
    <row r="27" customFormat="false" ht="30" hidden="false" customHeight="true" outlineLevel="0" collapsed="false">
      <c r="A27" s="33" t="n">
        <v>23</v>
      </c>
      <c r="B27" s="17" t="s">
        <v>159</v>
      </c>
      <c r="C27" s="17" t="s">
        <v>164</v>
      </c>
      <c r="D27" s="17" t="s">
        <v>161</v>
      </c>
      <c r="E27" s="33" t="s">
        <v>104</v>
      </c>
      <c r="F27" s="33" t="s">
        <v>88</v>
      </c>
      <c r="G27" s="30" t="s">
        <v>165</v>
      </c>
      <c r="H27" s="30" t="n">
        <v>62</v>
      </c>
      <c r="I27" s="30" t="n">
        <v>50</v>
      </c>
      <c r="J27" s="30" t="n">
        <v>54</v>
      </c>
      <c r="K27" s="30" t="n">
        <v>76</v>
      </c>
      <c r="L27" s="30" t="n">
        <v>80</v>
      </c>
      <c r="M27" s="17" t="s">
        <v>166</v>
      </c>
    </row>
    <row r="28" customFormat="false" ht="30" hidden="false" customHeight="true" outlineLevel="0" collapsed="false">
      <c r="A28" s="33" t="n">
        <v>24</v>
      </c>
      <c r="B28" s="17" t="s">
        <v>159</v>
      </c>
      <c r="C28" s="17" t="s">
        <v>167</v>
      </c>
      <c r="D28" s="17" t="s">
        <v>149</v>
      </c>
      <c r="E28" s="33" t="s">
        <v>96</v>
      </c>
      <c r="F28" s="33" t="s">
        <v>88</v>
      </c>
      <c r="G28" s="30" t="s">
        <v>168</v>
      </c>
      <c r="H28" s="30" t="n">
        <v>70</v>
      </c>
      <c r="I28" s="30" t="n">
        <v>45</v>
      </c>
      <c r="J28" s="30" t="n">
        <v>55</v>
      </c>
      <c r="K28" s="30" t="n">
        <v>90</v>
      </c>
      <c r="L28" s="30" t="n">
        <v>100</v>
      </c>
      <c r="M28" s="17" t="s">
        <v>169</v>
      </c>
    </row>
    <row r="29" customFormat="false" ht="30" hidden="false" customHeight="true" outlineLevel="0" collapsed="false">
      <c r="A29" s="33" t="n">
        <v>25</v>
      </c>
      <c r="B29" s="17" t="s">
        <v>159</v>
      </c>
      <c r="C29" s="17" t="s">
        <v>170</v>
      </c>
      <c r="D29" s="17" t="s">
        <v>171</v>
      </c>
      <c r="E29" s="33" t="s">
        <v>104</v>
      </c>
      <c r="F29" s="33" t="s">
        <v>88</v>
      </c>
      <c r="G29" s="30" t="s">
        <v>165</v>
      </c>
      <c r="H29" s="30" t="n">
        <v>8</v>
      </c>
      <c r="I29" s="30" t="n">
        <v>3</v>
      </c>
      <c r="J29" s="30" t="n">
        <v>5</v>
      </c>
      <c r="K29" s="21"/>
      <c r="L29" s="21"/>
      <c r="M29" s="17" t="s">
        <v>172</v>
      </c>
    </row>
    <row r="30" customFormat="false" ht="30" hidden="false" customHeight="true" outlineLevel="0" collapsed="false">
      <c r="A30" s="33" t="n">
        <v>26</v>
      </c>
      <c r="B30" s="17" t="s">
        <v>159</v>
      </c>
      <c r="C30" s="17" t="s">
        <v>173</v>
      </c>
      <c r="D30" s="17" t="s">
        <v>152</v>
      </c>
      <c r="E30" s="33"/>
      <c r="F30" s="33" t="s">
        <v>130</v>
      </c>
      <c r="G30" s="30" t="s">
        <v>168</v>
      </c>
      <c r="H30" s="21"/>
      <c r="I30" s="21"/>
      <c r="J30" s="21"/>
      <c r="K30" s="21"/>
      <c r="L30" s="21"/>
      <c r="M30" s="17" t="s">
        <v>174</v>
      </c>
    </row>
    <row r="31" customFormat="false" ht="30" hidden="false" customHeight="true" outlineLevel="0" collapsed="false">
      <c r="A31" s="33" t="n">
        <v>27</v>
      </c>
      <c r="B31" s="17" t="s">
        <v>175</v>
      </c>
      <c r="C31" s="17" t="s">
        <v>176</v>
      </c>
      <c r="D31" s="17" t="s">
        <v>177</v>
      </c>
      <c r="E31" s="33" t="s">
        <v>104</v>
      </c>
      <c r="F31" s="33" t="s">
        <v>88</v>
      </c>
      <c r="G31" s="30" t="s">
        <v>89</v>
      </c>
      <c r="H31" s="30" t="n">
        <v>35</v>
      </c>
      <c r="I31" s="21"/>
      <c r="J31" s="21"/>
      <c r="K31" s="30" t="n">
        <v>40</v>
      </c>
      <c r="L31" s="30" t="n">
        <v>45</v>
      </c>
      <c r="M31" s="17" t="s">
        <v>178</v>
      </c>
    </row>
    <row r="32" customFormat="false" ht="30" hidden="false" customHeight="true" outlineLevel="0" collapsed="false">
      <c r="A32" s="33" t="n">
        <v>28</v>
      </c>
      <c r="B32" s="17" t="s">
        <v>175</v>
      </c>
      <c r="C32" s="17" t="s">
        <v>179</v>
      </c>
      <c r="D32" s="17" t="s">
        <v>129</v>
      </c>
      <c r="E32" s="33"/>
      <c r="F32" s="33" t="s">
        <v>130</v>
      </c>
      <c r="G32" s="30" t="s">
        <v>89</v>
      </c>
      <c r="H32" s="21"/>
      <c r="I32" s="21"/>
      <c r="J32" s="21"/>
      <c r="K32" s="21"/>
      <c r="L32" s="21"/>
      <c r="M32" s="17" t="s">
        <v>180</v>
      </c>
    </row>
  </sheetData>
  <mergeCells count="3">
    <mergeCell ref="A1:M1"/>
    <mergeCell ref="A2:M2"/>
    <mergeCell ref="A3:M3"/>
  </mergeCells>
  <dataValidations count="2">
    <dataValidation allowBlank="false" errorStyle="stop" operator="between" showDropDown="false" showErrorMessage="false" showInputMessage="false" sqref="F5:F32" type="list">
      <formula1>"Value,Check"</formula1>
      <formula2>0</formula2>
    </dataValidation>
    <dataValidation allowBlank="true" errorStyle="stop" operator="between" showDropDown="false" showErrorMessage="false" showInputMessage="false" sqref="G5:G32" type="list">
      <formula1>"All,F-01,F-02,F-03,F-04,F-01,F-02,F-03,F-04"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A5A8"/>
    <pageSetUpPr fitToPage="true"/>
  </sheetPr>
  <dimension ref="A1:N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3"/>
    <col collapsed="false" customWidth="true" hidden="false" outlineLevel="0" max="3" min="3" style="0" width="44"/>
    <col collapsed="false" customWidth="true" hidden="false" outlineLevel="0" max="4" min="4" style="0" width="24"/>
    <col collapsed="false" customWidth="true" hidden="false" outlineLevel="0" max="5" min="5" style="0" width="7"/>
    <col collapsed="false" customWidth="true" hidden="false" outlineLevel="0" max="6" min="6" style="0" width="20"/>
    <col collapsed="false" customWidth="true" hidden="false" outlineLevel="0" max="7" min="7" style="0" width="9"/>
    <col collapsed="false" customWidth="true" hidden="false" outlineLevel="0" max="9" min="8" style="0" width="10"/>
    <col collapsed="false" customWidth="true" hidden="false" outlineLevel="0" max="12" min="10" style="0" width="9"/>
    <col collapsed="false" customWidth="true" hidden="false" outlineLevel="0" max="13" min="13" style="0" width="30"/>
    <col collapsed="false" customWidth="true" hidden="false" outlineLevel="0" max="14" min="14" style="0" width="11"/>
  </cols>
  <sheetData>
    <row r="1" customFormat="false" ht="15" hidden="false" customHeight="true" outlineLevel="0" collapsed="false">
      <c r="A1" s="7" t="s">
        <v>21</v>
      </c>
      <c r="B1" s="7"/>
      <c r="C1" s="7"/>
      <c r="D1" s="7"/>
      <c r="E1" s="7"/>
      <c r="F1" s="7"/>
      <c r="G1" s="7"/>
      <c r="H1" s="7"/>
      <c r="I1" s="7"/>
      <c r="J1" s="7"/>
      <c r="K1" s="7"/>
      <c r="L1" s="7"/>
      <c r="M1" s="7"/>
      <c r="N1" s="7"/>
    </row>
    <row r="2" customFormat="false" ht="15" hidden="false" customHeight="true" outlineLevel="0" collapsed="false">
      <c r="A2" s="8" t="s">
        <v>22</v>
      </c>
      <c r="B2" s="8"/>
      <c r="C2" s="8"/>
      <c r="D2" s="8"/>
      <c r="E2" s="8"/>
      <c r="F2" s="8"/>
      <c r="G2" s="8"/>
      <c r="H2" s="8"/>
      <c r="I2" s="8"/>
      <c r="J2" s="8"/>
      <c r="K2" s="9" t="s">
        <v>23</v>
      </c>
      <c r="L2" s="9"/>
      <c r="M2" s="9"/>
      <c r="N2" s="9"/>
    </row>
    <row r="3" customFormat="false" ht="15" hidden="false" customHeight="true" outlineLevel="0" collapsed="false">
      <c r="A3" s="8"/>
      <c r="B3" s="8"/>
      <c r="C3" s="8"/>
      <c r="D3" s="8"/>
      <c r="E3" s="8"/>
      <c r="F3" s="8"/>
      <c r="G3" s="8"/>
      <c r="H3" s="8"/>
      <c r="I3" s="8"/>
      <c r="J3" s="8"/>
      <c r="K3" s="9" t="s">
        <v>24</v>
      </c>
      <c r="L3" s="9"/>
      <c r="M3" s="9"/>
      <c r="N3" s="9"/>
    </row>
    <row r="5" customFormat="false" ht="15" hidden="false" customHeight="true" outlineLevel="0" collapsed="false">
      <c r="A5" s="10"/>
      <c r="B5" s="11" t="s">
        <v>25</v>
      </c>
      <c r="C5" s="42" t="s">
        <v>165</v>
      </c>
      <c r="D5" s="42"/>
      <c r="F5" s="11" t="s">
        <v>26</v>
      </c>
      <c r="G5" s="43" t="n">
        <v>46315</v>
      </c>
      <c r="H5" s="43"/>
      <c r="I5" s="43"/>
      <c r="J5" s="11" t="s">
        <v>27</v>
      </c>
      <c r="K5" s="42" t="s">
        <v>181</v>
      </c>
      <c r="L5" s="42"/>
      <c r="M5" s="42"/>
      <c r="N5" s="42"/>
    </row>
    <row r="6" customFormat="false" ht="22.35" hidden="false" customHeight="true" outlineLevel="0" collapsed="false">
      <c r="A6" s="10"/>
      <c r="B6" s="11" t="s">
        <v>28</v>
      </c>
      <c r="C6" s="42" t="s">
        <v>182</v>
      </c>
      <c r="D6" s="42"/>
      <c r="F6" s="11" t="s">
        <v>29</v>
      </c>
      <c r="G6" s="42" t="s">
        <v>183</v>
      </c>
      <c r="H6" s="42"/>
      <c r="I6" s="42"/>
      <c r="J6" s="11" t="s">
        <v>30</v>
      </c>
      <c r="K6" s="42" t="s">
        <v>184</v>
      </c>
      <c r="L6" s="42"/>
      <c r="M6" s="42"/>
      <c r="N6" s="42"/>
    </row>
    <row r="7" customFormat="false" ht="15" hidden="false" customHeight="true" outlineLevel="0" collapsed="false">
      <c r="A7" s="14" t="s">
        <v>31</v>
      </c>
      <c r="B7" s="14"/>
      <c r="C7" s="14"/>
      <c r="D7" s="14"/>
      <c r="E7" s="14"/>
      <c r="F7" s="14"/>
      <c r="G7" s="14"/>
      <c r="H7" s="14"/>
      <c r="I7" s="14"/>
      <c r="J7" s="14"/>
      <c r="K7" s="14"/>
      <c r="L7" s="14"/>
      <c r="M7" s="14"/>
      <c r="N7" s="14"/>
    </row>
    <row r="9" customFormat="false" ht="30" hidden="false" customHeight="true" outlineLevel="0" collapsed="false">
      <c r="A9" s="15" t="s">
        <v>32</v>
      </c>
      <c r="B9" s="15" t="s">
        <v>33</v>
      </c>
      <c r="C9" s="15" t="s">
        <v>34</v>
      </c>
      <c r="D9" s="15" t="s">
        <v>35</v>
      </c>
      <c r="E9" s="15" t="s">
        <v>36</v>
      </c>
      <c r="F9" s="15" t="s">
        <v>37</v>
      </c>
      <c r="G9" s="15" t="s">
        <v>38</v>
      </c>
      <c r="H9" s="15" t="s">
        <v>39</v>
      </c>
      <c r="I9" s="15" t="s">
        <v>40</v>
      </c>
      <c r="J9" s="15" t="s">
        <v>41</v>
      </c>
      <c r="K9" s="15" t="s">
        <v>42</v>
      </c>
      <c r="L9" s="15" t="s">
        <v>43</v>
      </c>
      <c r="M9" s="15" t="s">
        <v>44</v>
      </c>
      <c r="N9" s="15" t="s">
        <v>45</v>
      </c>
    </row>
    <row r="10" customFormat="false" ht="30" hidden="false" customHeight="true" outlineLevel="0" collapsed="false">
      <c r="A10" s="16" t="n">
        <f aca="false">Parameters!$A$5</f>
        <v>1</v>
      </c>
      <c r="B10" s="17" t="str">
        <f aca="false">Parameters!$B$5</f>
        <v>Combustion</v>
      </c>
      <c r="C10" s="17" t="str">
        <f aca="false">Parameters!$C$5</f>
        <v>Main gas pressure at the furnace gas train</v>
      </c>
      <c r="D10" s="18" t="str">
        <f aca="false">Parameters!$D$5</f>
        <v>Gas train gauge</v>
      </c>
      <c r="E10" s="16" t="str">
        <f aca="false">IF(Parameters!$E$5="","",Parameters!$E$5)</f>
        <v>mbar</v>
      </c>
      <c r="F10" s="19" t="str">
        <f aca="false">IF(Parameters!$F$5="Check","OK / Not OK",TRIM(IF(Parameters!$I$5&lt;&gt;"","act &lt;"&amp;Parameters!$I$5&amp;"  ","")&amp;IF(Parameters!$J$5&lt;&gt;"","watch &lt;"&amp;Parameters!$J$5&amp;"  ","")&amp;IF(Parameters!$K$5&lt;&gt;"","watch &gt;"&amp;Parameters!$K$5&amp;"  ","")&amp;IF(Parameters!$L$5&lt;&gt;"","act &gt;"&amp;Parameters!$L$5,"")))</f>
        <v>act &lt;30 watch &lt;34 watch &gt;46 act &gt;50</v>
      </c>
      <c r="G10" s="20" t="n">
        <f aca="false">IF(Parameters!$H$5="","",Parameters!$H$5)</f>
        <v>40</v>
      </c>
      <c r="H10" s="30" t="n">
        <v>41</v>
      </c>
      <c r="I10" s="30" t="n">
        <v>40</v>
      </c>
      <c r="J10" s="22" t="n">
        <f aca="false">IF(OR(H10="",I10="",Parameters!$F$5="Check"),"",H10-I10)</f>
        <v>1</v>
      </c>
      <c r="K10" s="23" t="n">
        <f aca="false">IF(OR(H10="",G10="",Parameters!$F$5="Check"),"",IF(G10=0,H10-G10,(H10-G10)/ABS(G10)))</f>
        <v>0.025</v>
      </c>
      <c r="L10" s="24" t="str">
        <f aca="false">IF(LEFT(N10,2)="No","N/A",IF(H10="","",IF(Parameters!$F$5="Check",IF(H10="OK","OK","ACT"),IF(OR(AND(Parameters!$I$5&lt;&gt;"",H10&lt;Parameters!$I$5),AND(Parameters!$L$5&lt;&gt;"",H10&gt;Parameters!$L$5)),"ACT",IF(OR(AND(Parameters!$J$5&lt;&gt;"",H10&lt;Parameters!$J$5),AND(Parameters!$K$5&lt;&gt;"",H10&gt;Parameters!$K$5)),"WATCH","OK")))))</f>
        <v>OK</v>
      </c>
      <c r="M10" s="12"/>
      <c r="N10" s="19" t="str">
        <f aca="false">IF(Parameters!$G$5="All","Yes",IF($C$5="","Yes",IF(ISNUMBER(SEARCH($C$5,Parameters!$G$5)),"Yes","No – N/A for "&amp;$C$5)))</f>
        <v>Yes</v>
      </c>
    </row>
    <row r="11" customFormat="false" ht="30" hidden="false" customHeight="true" outlineLevel="0" collapsed="false">
      <c r="A11" s="16" t="n">
        <f aca="false">Parameters!$A$6</f>
        <v>2</v>
      </c>
      <c r="B11" s="17" t="str">
        <f aca="false">Parameters!$B$6</f>
        <v>Combustion</v>
      </c>
      <c r="C11" s="17" t="str">
        <f aca="false">Parameters!$C$6</f>
        <v>Combustion air pressure after the blower</v>
      </c>
      <c r="D11" s="18" t="str">
        <f aca="false">Parameters!$D$6</f>
        <v>Air header gauge</v>
      </c>
      <c r="E11" s="16" t="str">
        <f aca="false">IF(Parameters!$E$6="","",Parameters!$E$6)</f>
        <v>mbar</v>
      </c>
      <c r="F11" s="19" t="str">
        <f aca="false">IF(Parameters!$F$6="Check","OK / Not OK",TRIM(IF(Parameters!$I$6&lt;&gt;"","act &lt;"&amp;Parameters!$I$6&amp;"  ","")&amp;IF(Parameters!$J$6&lt;&gt;"","watch &lt;"&amp;Parameters!$J$6&amp;"  ","")&amp;IF(Parameters!$K$6&lt;&gt;"","watch &gt;"&amp;Parameters!$K$6&amp;"  ","")&amp;IF(Parameters!$L$6&lt;&gt;"","act &gt;"&amp;Parameters!$L$6,"")))</f>
        <v>act &lt;48 watch &lt;53 watch &gt;70 act &gt;75</v>
      </c>
      <c r="G11" s="20" t="n">
        <f aca="false">IF(Parameters!$H$6="","",Parameters!$H$6)</f>
        <v>60</v>
      </c>
      <c r="H11" s="30" t="n">
        <v>59</v>
      </c>
      <c r="I11" s="30" t="n">
        <v>60</v>
      </c>
      <c r="J11" s="22" t="n">
        <f aca="false">IF(OR(H11="",I11="",Parameters!$F$6="Check"),"",H11-I11)</f>
        <v>-1</v>
      </c>
      <c r="K11" s="23" t="n">
        <f aca="false">IF(OR(H11="",G11="",Parameters!$F$6="Check"),"",IF(G11=0,H11-G11,(H11-G11)/ABS(G11)))</f>
        <v>-0.0166666666666667</v>
      </c>
      <c r="L11" s="24" t="str">
        <f aca="false">IF(LEFT(N11,2)="No","N/A",IF(H11="","",IF(Parameters!$F$6="Check",IF(H11="OK","OK","ACT"),IF(OR(AND(Parameters!$I$6&lt;&gt;"",H11&lt;Parameters!$I$6),AND(Parameters!$L$6&lt;&gt;"",H11&gt;Parameters!$L$6)),"ACT",IF(OR(AND(Parameters!$J$6&lt;&gt;"",H11&lt;Parameters!$J$6),AND(Parameters!$K$6&lt;&gt;"",H11&gt;Parameters!$K$6)),"WATCH","OK")))))</f>
        <v>OK</v>
      </c>
      <c r="M11" s="12"/>
      <c r="N11" s="19" t="str">
        <f aca="false">IF(Parameters!$G$6="All","Yes",IF($C$5="","Yes",IF(ISNUMBER(SEARCH($C$5,Parameters!$G$6)),"Yes","No – N/A for "&amp;$C$5)))</f>
        <v>Yes</v>
      </c>
    </row>
    <row r="12" customFormat="false" ht="30" hidden="false" customHeight="true" outlineLevel="0" collapsed="false">
      <c r="A12" s="16" t="n">
        <f aca="false">Parameters!$A$7</f>
        <v>3</v>
      </c>
      <c r="B12" s="17" t="str">
        <f aca="false">Parameters!$B$7</f>
        <v>Combustion</v>
      </c>
      <c r="C12" s="17" t="str">
        <f aca="false">Parameters!$C$7</f>
        <v>Combustion air blower motor current</v>
      </c>
      <c r="D12" s="18" t="str">
        <f aca="false">Parameters!$D$7</f>
        <v>Clamp meter or panel ammeter (% of rated current)</v>
      </c>
      <c r="E12" s="16" t="str">
        <f aca="false">IF(Parameters!$E$7="","",Parameters!$E$7)</f>
        <v>% FLA</v>
      </c>
      <c r="F12" s="19" t="str">
        <f aca="false">IF(Parameters!$F$7="Check","OK / Not OK",TRIM(IF(Parameters!$I$7&lt;&gt;"","act &lt;"&amp;Parameters!$I$7&amp;"  ","")&amp;IF(Parameters!$J$7&lt;&gt;"","watch &lt;"&amp;Parameters!$J$7&amp;"  ","")&amp;IF(Parameters!$K$7&lt;&gt;"","watch &gt;"&amp;Parameters!$K$7&amp;"  ","")&amp;IF(Parameters!$L$7&lt;&gt;"","act &gt;"&amp;Parameters!$L$7,"")))</f>
        <v>act &lt;40 watch &lt;55 watch &gt;85 act &gt;95</v>
      </c>
      <c r="G12" s="20" t="n">
        <f aca="false">IF(Parameters!$H$7="","",Parameters!$H$7)</f>
        <v>70</v>
      </c>
      <c r="H12" s="30" t="n">
        <v>74</v>
      </c>
      <c r="I12" s="30" t="n">
        <v>72</v>
      </c>
      <c r="J12" s="22" t="n">
        <f aca="false">IF(OR(H12="",I12="",Parameters!$F$7="Check"),"",H12-I12)</f>
        <v>2</v>
      </c>
      <c r="K12" s="23" t="n">
        <f aca="false">IF(OR(H12="",G12="",Parameters!$F$7="Check"),"",IF(G12=0,H12-G12,(H12-G12)/ABS(G12)))</f>
        <v>0.0571428571428571</v>
      </c>
      <c r="L12" s="24" t="str">
        <f aca="false">IF(LEFT(N12,2)="No","N/A",IF(H12="","",IF(Parameters!$F$7="Check",IF(H12="OK","OK","ACT"),IF(OR(AND(Parameters!$I$7&lt;&gt;"",H12&lt;Parameters!$I$7),AND(Parameters!$L$7&lt;&gt;"",H12&gt;Parameters!$L$7)),"ACT",IF(OR(AND(Parameters!$J$7&lt;&gt;"",H12&lt;Parameters!$J$7),AND(Parameters!$K$7&lt;&gt;"",H12&gt;Parameters!$K$7)),"WATCH","OK")))))</f>
        <v>OK</v>
      </c>
      <c r="M12" s="12"/>
      <c r="N12" s="19" t="str">
        <f aca="false">IF(Parameters!$G$7="All","Yes",IF($C$5="","Yes",IF(ISNUMBER(SEARCH($C$5,Parameters!$G$7)),"Yes","No – N/A for "&amp;$C$5)))</f>
        <v>Yes</v>
      </c>
    </row>
    <row r="13" customFormat="false" ht="30" hidden="false" customHeight="true" outlineLevel="0" collapsed="false">
      <c r="A13" s="16" t="n">
        <f aca="false">Parameters!$A$8</f>
        <v>4</v>
      </c>
      <c r="B13" s="17" t="str">
        <f aca="false">Parameters!$B$8</f>
        <v>Combustion</v>
      </c>
      <c r="C13" s="17" t="str">
        <f aca="false">Parameters!$C$8</f>
        <v>Combustion air blower bearing vibration</v>
      </c>
      <c r="D13" s="18" t="str">
        <f aca="false">Parameters!$D$8</f>
        <v>Handheld vibration meter, velocity RMS</v>
      </c>
      <c r="E13" s="16" t="str">
        <f aca="false">IF(Parameters!$E$8="","",Parameters!$E$8)</f>
        <v>mm/s</v>
      </c>
      <c r="F13" s="19" t="str">
        <f aca="false">IF(Parameters!$F$8="Check","OK / Not OK",TRIM(IF(Parameters!$I$8&lt;&gt;"","act &lt;"&amp;Parameters!$I$8&amp;"  ","")&amp;IF(Parameters!$J$8&lt;&gt;"","watch &lt;"&amp;Parameters!$J$8&amp;"  ","")&amp;IF(Parameters!$K$8&lt;&gt;"","watch &gt;"&amp;Parameters!$K$8&amp;"  ","")&amp;IF(Parameters!$L$8&lt;&gt;"","act &gt;"&amp;Parameters!$L$8,"")))</f>
        <v>watch &gt;2.8 act &gt;4.5</v>
      </c>
      <c r="G13" s="20" t="n">
        <f aca="false">IF(Parameters!$H$8="","",Parameters!$H$8)</f>
        <v>1.5</v>
      </c>
      <c r="H13" s="30" t="n">
        <v>2.9</v>
      </c>
      <c r="I13" s="30" t="n">
        <v>2.6</v>
      </c>
      <c r="J13" s="22" t="n">
        <f aca="false">IF(OR(H13="",I13="",Parameters!$F$8="Check"),"",H13-I13)</f>
        <v>0.3</v>
      </c>
      <c r="K13" s="23" t="n">
        <f aca="false">IF(OR(H13="",G13="",Parameters!$F$8="Check"),"",IF(G13=0,H13-G13,(H13-G13)/ABS(G13)))</f>
        <v>0.933333333333333</v>
      </c>
      <c r="L13" s="24" t="str">
        <f aca="false">IF(LEFT(N13,2)="No","N/A",IF(H13="","",IF(Parameters!$F$8="Check",IF(H13="OK","OK","ACT"),IF(OR(AND(Parameters!$I$8&lt;&gt;"",H13&lt;Parameters!$I$8),AND(Parameters!$L$8&lt;&gt;"",H13&gt;Parameters!$L$8)),"ACT",IF(OR(AND(Parameters!$J$8&lt;&gt;"",H13&lt;Parameters!$J$8),AND(Parameters!$K$8&lt;&gt;"",H13&gt;Parameters!$K$8)),"WATCH","OK")))))</f>
        <v>WATCH</v>
      </c>
      <c r="M13" s="42" t="s">
        <v>185</v>
      </c>
      <c r="N13" s="19" t="str">
        <f aca="false">IF(Parameters!$G$8="All","Yes",IF($C$5="","Yes",IF(ISNUMBER(SEARCH($C$5,Parameters!$G$8)),"Yes","No – N/A for "&amp;$C$5)))</f>
        <v>Yes</v>
      </c>
    </row>
    <row r="14" customFormat="false" ht="30" hidden="false" customHeight="true" outlineLevel="0" collapsed="false">
      <c r="A14" s="16" t="n">
        <f aca="false">Parameters!$A$9</f>
        <v>5</v>
      </c>
      <c r="B14" s="17" t="str">
        <f aca="false">Parameters!$B$9</f>
        <v>Combustion</v>
      </c>
      <c r="C14" s="17" t="str">
        <f aca="false">Parameters!$C$9</f>
        <v>Combustion air blower bearing temperature</v>
      </c>
      <c r="D14" s="18" t="str">
        <f aca="false">Parameters!$D$9</f>
        <v>IR thermometer</v>
      </c>
      <c r="E14" s="16" t="str">
        <f aca="false">IF(Parameters!$E$9="","",Parameters!$E$9)</f>
        <v>°C</v>
      </c>
      <c r="F14" s="19" t="str">
        <f aca="false">IF(Parameters!$F$9="Check","OK / Not OK",TRIM(IF(Parameters!$I$9&lt;&gt;"","act &lt;"&amp;Parameters!$I$9&amp;"  ","")&amp;IF(Parameters!$J$9&lt;&gt;"","watch &lt;"&amp;Parameters!$J$9&amp;"  ","")&amp;IF(Parameters!$K$9&lt;&gt;"","watch &gt;"&amp;Parameters!$K$9&amp;"  ","")&amp;IF(Parameters!$L$9&lt;&gt;"","act &gt;"&amp;Parameters!$L$9,"")))</f>
        <v>watch &gt;70 act &gt;85</v>
      </c>
      <c r="G14" s="20" t="n">
        <f aca="false">IF(Parameters!$H$9="","",Parameters!$H$9)</f>
        <v>50</v>
      </c>
      <c r="H14" s="30" t="n">
        <v>62</v>
      </c>
      <c r="I14" s="30" t="n">
        <v>60</v>
      </c>
      <c r="J14" s="22" t="n">
        <f aca="false">IF(OR(H14="",I14="",Parameters!$F$9="Check"),"",H14-I14)</f>
        <v>2</v>
      </c>
      <c r="K14" s="23" t="n">
        <f aca="false">IF(OR(H14="",G14="",Parameters!$F$9="Check"),"",IF(G14=0,H14-G14,(H14-G14)/ABS(G14)))</f>
        <v>0.24</v>
      </c>
      <c r="L14" s="24" t="str">
        <f aca="false">IF(LEFT(N14,2)="No","N/A",IF(H14="","",IF(Parameters!$F$9="Check",IF(H14="OK","OK","ACT"),IF(OR(AND(Parameters!$I$9&lt;&gt;"",H14&lt;Parameters!$I$9),AND(Parameters!$L$9&lt;&gt;"",H14&gt;Parameters!$L$9)),"ACT",IF(OR(AND(Parameters!$J$9&lt;&gt;"",H14&lt;Parameters!$J$9),AND(Parameters!$K$9&lt;&gt;"",H14&gt;Parameters!$K$9)),"WATCH","OK")))))</f>
        <v>OK</v>
      </c>
      <c r="M14" s="12"/>
      <c r="N14" s="19" t="str">
        <f aca="false">IF(Parameters!$G$9="All","Yes",IF($C$5="","Yes",IF(ISNUMBER(SEARCH($C$5,Parameters!$G$9)),"Yes","No – N/A for "&amp;$C$5)))</f>
        <v>Yes</v>
      </c>
    </row>
    <row r="15" customFormat="false" ht="30" hidden="false" customHeight="true" outlineLevel="0" collapsed="false">
      <c r="A15" s="16" t="n">
        <f aca="false">Parameters!$A$10</f>
        <v>6</v>
      </c>
      <c r="B15" s="17" t="str">
        <f aca="false">Parameters!$B$10</f>
        <v>Combustion</v>
      </c>
      <c r="C15" s="17" t="str">
        <f aca="false">Parameters!$C$10</f>
        <v>Burner flame failures / lockouts in the last 24 h</v>
      </c>
      <c r="D15" s="18" t="str">
        <f aca="false">Parameters!$D$10</f>
        <v>Alarm log (CALOR → Alarms) / burner controller</v>
      </c>
      <c r="E15" s="16" t="str">
        <f aca="false">IF(Parameters!$E$10="","",Parameters!$E$10)</f>
        <v>count</v>
      </c>
      <c r="F15" s="19" t="str">
        <f aca="false">IF(Parameters!$F$10="Check","OK / Not OK",TRIM(IF(Parameters!$I$10&lt;&gt;"","act &lt;"&amp;Parameters!$I$10&amp;"  ","")&amp;IF(Parameters!$J$10&lt;&gt;"","watch &lt;"&amp;Parameters!$J$10&amp;"  ","")&amp;IF(Parameters!$K$10&lt;&gt;"","watch &gt;"&amp;Parameters!$K$10&amp;"  ","")&amp;IF(Parameters!$L$10&lt;&gt;"","act &gt;"&amp;Parameters!$L$10,"")))</f>
        <v>watch &gt;1 act &gt;3</v>
      </c>
      <c r="G15" s="20" t="n">
        <f aca="false">IF(Parameters!$H$10="","",Parameters!$H$10)</f>
        <v>0</v>
      </c>
      <c r="H15" s="30" t="n">
        <v>0</v>
      </c>
      <c r="I15" s="30" t="n">
        <v>0</v>
      </c>
      <c r="J15" s="22" t="n">
        <f aca="false">IF(OR(H15="",I15="",Parameters!$F$10="Check"),"",H15-I15)</f>
        <v>0</v>
      </c>
      <c r="K15" s="22" t="n">
        <f aca="false">IF(OR(H15="",G15="",Parameters!$F$10="Check"),"",IF(G15=0,H15-G15,(H15-G15)/ABS(G15)))</f>
        <v>0</v>
      </c>
      <c r="L15" s="24" t="str">
        <f aca="false">IF(LEFT(N15,2)="No","N/A",IF(H15="","",IF(Parameters!$F$10="Check",IF(H15="OK","OK","ACT"),IF(OR(AND(Parameters!$I$10&lt;&gt;"",H15&lt;Parameters!$I$10),AND(Parameters!$L$10&lt;&gt;"",H15&gt;Parameters!$L$10)),"ACT",IF(OR(AND(Parameters!$J$10&lt;&gt;"",H15&lt;Parameters!$J$10),AND(Parameters!$K$10&lt;&gt;"",H15&gt;Parameters!$K$10)),"WATCH","OK")))))</f>
        <v>OK</v>
      </c>
      <c r="M15" s="12"/>
      <c r="N15" s="19" t="str">
        <f aca="false">IF(Parameters!$G$10="All","Yes",IF($C$5="","Yes",IF(ISNUMBER(SEARCH($C$5,Parameters!$G$10)),"Yes","No – N/A for "&amp;$C$5)))</f>
        <v>Yes</v>
      </c>
    </row>
    <row r="16" customFormat="false" ht="30" hidden="false" customHeight="true" outlineLevel="0" collapsed="false">
      <c r="A16" s="16" t="n">
        <f aca="false">Parameters!$A$11</f>
        <v>7</v>
      </c>
      <c r="B16" s="17" t="str">
        <f aca="false">Parameters!$B$11</f>
        <v>Combustion</v>
      </c>
      <c r="C16" s="17" t="str">
        <f aca="false">Parameters!$C$11</f>
        <v>Highest zone controller output at steady state, hardening chamber</v>
      </c>
      <c r="D16" s="18" t="str">
        <f aca="false">Parameters!$D$11</f>
        <v>SCADA / controller display</v>
      </c>
      <c r="E16" s="16" t="str">
        <f aca="false">IF(Parameters!$E$11="","",Parameters!$E$11)</f>
        <v>%</v>
      </c>
      <c r="F16" s="19" t="str">
        <f aca="false">IF(Parameters!$F$11="Check","OK / Not OK",TRIM(IF(Parameters!$I$11&lt;&gt;"","act &lt;"&amp;Parameters!$I$11&amp;"  ","")&amp;IF(Parameters!$J$11&lt;&gt;"","watch &lt;"&amp;Parameters!$J$11&amp;"  ","")&amp;IF(Parameters!$K$11&lt;&gt;"","watch &gt;"&amp;Parameters!$K$11&amp;"  ","")&amp;IF(Parameters!$L$11&lt;&gt;"","act &gt;"&amp;Parameters!$L$11,"")))</f>
        <v>watch &gt;75 act &gt;90</v>
      </c>
      <c r="G16" s="20" t="n">
        <f aca="false">IF(Parameters!$H$11="","",Parameters!$H$11)</f>
        <v>55</v>
      </c>
      <c r="H16" s="30" t="n">
        <v>68</v>
      </c>
      <c r="I16" s="30" t="n">
        <v>66</v>
      </c>
      <c r="J16" s="22" t="n">
        <f aca="false">IF(OR(H16="",I16="",Parameters!$F$11="Check"),"",H16-I16)</f>
        <v>2</v>
      </c>
      <c r="K16" s="23" t="n">
        <f aca="false">IF(OR(H16="",G16="",Parameters!$F$11="Check"),"",IF(G16=0,H16-G16,(H16-G16)/ABS(G16)))</f>
        <v>0.236363636363636</v>
      </c>
      <c r="L16" s="24" t="str">
        <f aca="false">IF(LEFT(N16,2)="No","N/A",IF(H16="","",IF(Parameters!$F$11="Check",IF(H16="OK","OK","ACT"),IF(OR(AND(Parameters!$I$11&lt;&gt;"",H16&lt;Parameters!$I$11),AND(Parameters!$L$11&lt;&gt;"",H16&gt;Parameters!$L$11)),"ACT",IF(OR(AND(Parameters!$J$11&lt;&gt;"",H16&lt;Parameters!$J$11),AND(Parameters!$K$11&lt;&gt;"",H16&gt;Parameters!$K$11)),"WATCH","OK")))))</f>
        <v>OK</v>
      </c>
      <c r="M16" s="12"/>
      <c r="N16" s="19" t="str">
        <f aca="false">IF(Parameters!$G$11="All","Yes",IF($C$5="","Yes",IF(ISNUMBER(SEARCH($C$5,Parameters!$G$11)),"Yes","No – N/A for "&amp;$C$5)))</f>
        <v>Yes</v>
      </c>
    </row>
    <row r="17" customFormat="false" ht="30" hidden="false" customHeight="true" outlineLevel="0" collapsed="false">
      <c r="A17" s="16" t="n">
        <f aca="false">Parameters!$A$12</f>
        <v>8</v>
      </c>
      <c r="B17" s="17" t="str">
        <f aca="false">Parameters!$B$12</f>
        <v>Combustion</v>
      </c>
      <c r="C17" s="17" t="str">
        <f aca="false">Parameters!$C$12</f>
        <v>Highest zone controller output at steady state, tempering chamber</v>
      </c>
      <c r="D17" s="18" t="str">
        <f aca="false">Parameters!$D$12</f>
        <v>SCADA / controller display</v>
      </c>
      <c r="E17" s="16" t="str">
        <f aca="false">IF(Parameters!$E$12="","",Parameters!$E$12)</f>
        <v>%</v>
      </c>
      <c r="F17" s="19" t="str">
        <f aca="false">IF(Parameters!$F$12="Check","OK / Not OK",TRIM(IF(Parameters!$I$12&lt;&gt;"","act &lt;"&amp;Parameters!$I$12&amp;"  ","")&amp;IF(Parameters!$J$12&lt;&gt;"","watch &lt;"&amp;Parameters!$J$12&amp;"  ","")&amp;IF(Parameters!$K$12&lt;&gt;"","watch &gt;"&amp;Parameters!$K$12&amp;"  ","")&amp;IF(Parameters!$L$12&lt;&gt;"","act &gt;"&amp;Parameters!$L$12,"")))</f>
        <v>watch &gt;70 act &gt;85</v>
      </c>
      <c r="G17" s="20" t="n">
        <f aca="false">IF(Parameters!$H$12="","",Parameters!$H$12)</f>
        <v>45</v>
      </c>
      <c r="H17" s="30" t="n">
        <v>52</v>
      </c>
      <c r="I17" s="30" t="n">
        <v>51</v>
      </c>
      <c r="J17" s="22" t="n">
        <f aca="false">IF(OR(H17="",I17="",Parameters!$F$12="Check"),"",H17-I17)</f>
        <v>1</v>
      </c>
      <c r="K17" s="23" t="n">
        <f aca="false">IF(OR(H17="",G17="",Parameters!$F$12="Check"),"",IF(G17=0,H17-G17,(H17-G17)/ABS(G17)))</f>
        <v>0.155555555555556</v>
      </c>
      <c r="L17" s="24" t="str">
        <f aca="false">IF(LEFT(N17,2)="No","N/A",IF(H17="","",IF(Parameters!$F$12="Check",IF(H17="OK","OK","ACT"),IF(OR(AND(Parameters!$I$12&lt;&gt;"",H17&lt;Parameters!$I$12),AND(Parameters!$L$12&lt;&gt;"",H17&gt;Parameters!$L$12)),"ACT",IF(OR(AND(Parameters!$J$12&lt;&gt;"",H17&lt;Parameters!$J$12),AND(Parameters!$K$12&lt;&gt;"",H17&gt;Parameters!$K$12)),"WATCH","OK")))))</f>
        <v>OK</v>
      </c>
      <c r="M17" s="12"/>
      <c r="N17" s="19" t="str">
        <f aca="false">IF(Parameters!$G$12="All","Yes",IF($C$5="","Yes",IF(ISNUMBER(SEARCH($C$5,Parameters!$G$12)),"Yes","No – N/A for "&amp;$C$5)))</f>
        <v>Yes</v>
      </c>
    </row>
    <row r="18" customFormat="false" ht="30" hidden="false" customHeight="true" outlineLevel="0" collapsed="false">
      <c r="A18" s="16" t="n">
        <f aca="false">Parameters!$A$13</f>
        <v>9</v>
      </c>
      <c r="B18" s="17" t="str">
        <f aca="false">Parameters!$B$13</f>
        <v>Temperature</v>
      </c>
      <c r="C18" s="17" t="str">
        <f aca="false">Parameters!$C$13</f>
        <v>Largest wall difference (left − right) of a zone, hardening chamber</v>
      </c>
      <c r="D18" s="18" t="str">
        <f aca="false">Parameters!$D$13</f>
        <v>SCADA (TC odd = right, even = left)</v>
      </c>
      <c r="E18" s="16" t="str">
        <f aca="false">IF(Parameters!$E$13="","",Parameters!$E$13)</f>
        <v>°C</v>
      </c>
      <c r="F18" s="19" t="str">
        <f aca="false">IF(Parameters!$F$13="Check","OK / Not OK",TRIM(IF(Parameters!$I$13&lt;&gt;"","act &lt;"&amp;Parameters!$I$13&amp;"  ","")&amp;IF(Parameters!$J$13&lt;&gt;"","watch &lt;"&amp;Parameters!$J$13&amp;"  ","")&amp;IF(Parameters!$K$13&lt;&gt;"","watch &gt;"&amp;Parameters!$K$13&amp;"  ","")&amp;IF(Parameters!$L$13&lt;&gt;"","act &gt;"&amp;Parameters!$L$13,"")))</f>
        <v>act &lt;-8 watch &lt;-5 watch &gt;5 act &gt;8</v>
      </c>
      <c r="G18" s="20" t="n">
        <f aca="false">IF(Parameters!$H$13="","",Parameters!$H$13)</f>
        <v>0</v>
      </c>
      <c r="H18" s="30" t="n">
        <v>6</v>
      </c>
      <c r="I18" s="30" t="n">
        <v>5</v>
      </c>
      <c r="J18" s="22" t="n">
        <f aca="false">IF(OR(H18="",I18="",Parameters!$F$13="Check"),"",H18-I18)</f>
        <v>1</v>
      </c>
      <c r="K18" s="22" t="n">
        <f aca="false">IF(OR(H18="",G18="",Parameters!$F$13="Check"),"",IF(G18=0,H18-G18,(H18-G18)/ABS(G18)))</f>
        <v>6</v>
      </c>
      <c r="L18" s="24" t="str">
        <f aca="false">IF(LEFT(N18,2)="No","N/A",IF(H18="","",IF(Parameters!$F$13="Check",IF(H18="OK","OK","ACT"),IF(OR(AND(Parameters!$I$13&lt;&gt;"",H18&lt;Parameters!$I$13),AND(Parameters!$L$13&lt;&gt;"",H18&gt;Parameters!$L$13)),"ACT",IF(OR(AND(Parameters!$J$13&lt;&gt;"",H18&lt;Parameters!$J$13),AND(Parameters!$K$13&lt;&gt;"",H18&gt;Parameters!$K$13)),"WATCH","OK")))))</f>
        <v>WATCH</v>
      </c>
      <c r="M18" s="42" t="s">
        <v>186</v>
      </c>
      <c r="N18" s="19" t="str">
        <f aca="false">IF(Parameters!$G$13="All","Yes",IF($C$5="","Yes",IF(ISNUMBER(SEARCH($C$5,Parameters!$G$13)),"Yes","No – N/A for "&amp;$C$5)))</f>
        <v>Yes</v>
      </c>
    </row>
    <row r="19" customFormat="false" ht="30" hidden="false" customHeight="true" outlineLevel="0" collapsed="false">
      <c r="A19" s="16" t="n">
        <f aca="false">Parameters!$A$14</f>
        <v>10</v>
      </c>
      <c r="B19" s="17" t="str">
        <f aca="false">Parameters!$B$14</f>
        <v>Temperature</v>
      </c>
      <c r="C19" s="17" t="str">
        <f aca="false">Parameters!$C$14</f>
        <v>Largest wall difference (left − right) of a zone, tempering chamber</v>
      </c>
      <c r="D19" s="18" t="str">
        <f aca="false">Parameters!$D$14</f>
        <v>SCADA (TC odd = right, even = left)</v>
      </c>
      <c r="E19" s="16" t="str">
        <f aca="false">IF(Parameters!$E$14="","",Parameters!$E$14)</f>
        <v>°C</v>
      </c>
      <c r="F19" s="19" t="str">
        <f aca="false">IF(Parameters!$F$14="Check","OK / Not OK",TRIM(IF(Parameters!$I$14&lt;&gt;"","act &lt;"&amp;Parameters!$I$14&amp;"  ","")&amp;IF(Parameters!$J$14&lt;&gt;"","watch &lt;"&amp;Parameters!$J$14&amp;"  ","")&amp;IF(Parameters!$K$14&lt;&gt;"","watch &gt;"&amp;Parameters!$K$14&amp;"  ","")&amp;IF(Parameters!$L$14&lt;&gt;"","act &gt;"&amp;Parameters!$L$14,"")))</f>
        <v>act &lt;-8 watch &lt;-5 watch &gt;5 act &gt;8</v>
      </c>
      <c r="G19" s="20" t="n">
        <f aca="false">IF(Parameters!$H$14="","",Parameters!$H$14)</f>
        <v>0</v>
      </c>
      <c r="H19" s="30" t="n">
        <v>2</v>
      </c>
      <c r="I19" s="30" t="n">
        <v>2</v>
      </c>
      <c r="J19" s="22" t="n">
        <f aca="false">IF(OR(H19="",I19="",Parameters!$F$14="Check"),"",H19-I19)</f>
        <v>0</v>
      </c>
      <c r="K19" s="22" t="n">
        <f aca="false">IF(OR(H19="",G19="",Parameters!$F$14="Check"),"",IF(G19=0,H19-G19,(H19-G19)/ABS(G19)))</f>
        <v>2</v>
      </c>
      <c r="L19" s="24" t="str">
        <f aca="false">IF(LEFT(N19,2)="No","N/A",IF(H19="","",IF(Parameters!$F$14="Check",IF(H19="OK","OK","ACT"),IF(OR(AND(Parameters!$I$14&lt;&gt;"",H19&lt;Parameters!$I$14),AND(Parameters!$L$14&lt;&gt;"",H19&gt;Parameters!$L$14)),"ACT",IF(OR(AND(Parameters!$J$14&lt;&gt;"",H19&lt;Parameters!$J$14),AND(Parameters!$K$14&lt;&gt;"",H19&gt;Parameters!$K$14)),"WATCH","OK")))))</f>
        <v>OK</v>
      </c>
      <c r="M19" s="12"/>
      <c r="N19" s="19" t="str">
        <f aca="false">IF(Parameters!$G$14="All","Yes",IF($C$5="","Yes",IF(ISNUMBER(SEARCH($C$5,Parameters!$G$14)),"Yes","No – N/A for "&amp;$C$5)))</f>
        <v>Yes</v>
      </c>
    </row>
    <row r="20" customFormat="false" ht="30" hidden="false" customHeight="true" outlineLevel="0" collapsed="false">
      <c r="A20" s="16" t="n">
        <f aca="false">Parameters!$A$15</f>
        <v>11</v>
      </c>
      <c r="B20" s="17" t="str">
        <f aca="false">Parameters!$B$15</f>
        <v>Temperature</v>
      </c>
      <c r="C20" s="17" t="str">
        <f aca="false">Parameters!$C$15</f>
        <v>Over-temperature controller reading vs control thermocouple (difference)</v>
      </c>
      <c r="D20" s="18" t="str">
        <f aca="false">Parameters!$D$15</f>
        <v>Panel displays</v>
      </c>
      <c r="E20" s="16" t="str">
        <f aca="false">IF(Parameters!$E$15="","",Parameters!$E$15)</f>
        <v>°C</v>
      </c>
      <c r="F20" s="19" t="str">
        <f aca="false">IF(Parameters!$F$15="Check","OK / Not OK",TRIM(IF(Parameters!$I$15&lt;&gt;"","act &lt;"&amp;Parameters!$I$15&amp;"  ","")&amp;IF(Parameters!$J$15&lt;&gt;"","watch &lt;"&amp;Parameters!$J$15&amp;"  ","")&amp;IF(Parameters!$K$15&lt;&gt;"","watch &gt;"&amp;Parameters!$K$15&amp;"  ","")&amp;IF(Parameters!$L$15&lt;&gt;"","act &gt;"&amp;Parameters!$L$15,"")))</f>
        <v>act &lt;-8 watch &lt;-5 watch &gt;5 act &gt;8</v>
      </c>
      <c r="G20" s="20" t="n">
        <f aca="false">IF(Parameters!$H$15="","",Parameters!$H$15)</f>
        <v>0</v>
      </c>
      <c r="H20" s="30" t="n">
        <v>1</v>
      </c>
      <c r="I20" s="30" t="n">
        <v>2</v>
      </c>
      <c r="J20" s="22" t="n">
        <f aca="false">IF(OR(H20="",I20="",Parameters!$F$15="Check"),"",H20-I20)</f>
        <v>-1</v>
      </c>
      <c r="K20" s="22" t="n">
        <f aca="false">IF(OR(H20="",G20="",Parameters!$F$15="Check"),"",IF(G20=0,H20-G20,(H20-G20)/ABS(G20)))</f>
        <v>1</v>
      </c>
      <c r="L20" s="24" t="str">
        <f aca="false">IF(LEFT(N20,2)="No","N/A",IF(H20="","",IF(Parameters!$F$15="Check",IF(H20="OK","OK","ACT"),IF(OR(AND(Parameters!$I$15&lt;&gt;"",H20&lt;Parameters!$I$15),AND(Parameters!$L$15&lt;&gt;"",H20&gt;Parameters!$L$15)),"ACT",IF(OR(AND(Parameters!$J$15&lt;&gt;"",H20&lt;Parameters!$J$15),AND(Parameters!$K$15&lt;&gt;"",H20&gt;Parameters!$K$15)),"WATCH","OK")))))</f>
        <v>OK</v>
      </c>
      <c r="M20" s="12"/>
      <c r="N20" s="19" t="str">
        <f aca="false">IF(Parameters!$G$15="All","Yes",IF($C$5="","Yes",IF(ISNUMBER(SEARCH($C$5,Parameters!$G$15)),"Yes","No – N/A for "&amp;$C$5)))</f>
        <v>Yes</v>
      </c>
    </row>
    <row r="21" customFormat="false" ht="30" hidden="false" customHeight="true" outlineLevel="0" collapsed="false">
      <c r="A21" s="16" t="n">
        <f aca="false">Parameters!$A$16</f>
        <v>12</v>
      </c>
      <c r="B21" s="17" t="str">
        <f aca="false">Parameters!$B$16</f>
        <v>Refractory</v>
      </c>
      <c r="C21" s="17" t="str">
        <f aca="false">Parameters!$C$16</f>
        <v>Furnace shell hottest spot (IR scan of walls, roof, doors)</v>
      </c>
      <c r="D21" s="18" t="str">
        <f aca="false">Parameters!$D$16</f>
        <v>IR thermometer / camera, same route daily</v>
      </c>
      <c r="E21" s="16" t="str">
        <f aca="false">IF(Parameters!$E$16="","",Parameters!$E$16)</f>
        <v>°C</v>
      </c>
      <c r="F21" s="19" t="str">
        <f aca="false">IF(Parameters!$F$16="Check","OK / Not OK",TRIM(IF(Parameters!$I$16&lt;&gt;"","act &lt;"&amp;Parameters!$I$16&amp;"  ","")&amp;IF(Parameters!$J$16&lt;&gt;"","watch &lt;"&amp;Parameters!$J$16&amp;"  ","")&amp;IF(Parameters!$K$16&lt;&gt;"","watch &gt;"&amp;Parameters!$K$16&amp;"  ","")&amp;IF(Parameters!$L$16&lt;&gt;"","act &gt;"&amp;Parameters!$L$16,"")))</f>
        <v>watch &gt;100 act &gt;120</v>
      </c>
      <c r="G21" s="20" t="n">
        <f aca="false">IF(Parameters!$H$16="","",Parameters!$H$16)</f>
        <v>70</v>
      </c>
      <c r="H21" s="30" t="n">
        <v>84</v>
      </c>
      <c r="I21" s="30" t="n">
        <v>82</v>
      </c>
      <c r="J21" s="22" t="n">
        <f aca="false">IF(OR(H21="",I21="",Parameters!$F$16="Check"),"",H21-I21)</f>
        <v>2</v>
      </c>
      <c r="K21" s="23" t="n">
        <f aca="false">IF(OR(H21="",G21="",Parameters!$F$16="Check"),"",IF(G21=0,H21-G21,(H21-G21)/ABS(G21)))</f>
        <v>0.2</v>
      </c>
      <c r="L21" s="24" t="str">
        <f aca="false">IF(LEFT(N21,2)="No","N/A",IF(H21="","",IF(Parameters!$F$16="Check",IF(H21="OK","OK","ACT"),IF(OR(AND(Parameters!$I$16&lt;&gt;"",H21&lt;Parameters!$I$16),AND(Parameters!$L$16&lt;&gt;"",H21&gt;Parameters!$L$16)),"ACT",IF(OR(AND(Parameters!$J$16&lt;&gt;"",H21&lt;Parameters!$J$16),AND(Parameters!$K$16&lt;&gt;"",H21&gt;Parameters!$K$16)),"WATCH","OK")))))</f>
        <v>OK</v>
      </c>
      <c r="M21" s="12"/>
      <c r="N21" s="19" t="str">
        <f aca="false">IF(Parameters!$G$16="All","Yes",IF($C$5="","Yes",IF(ISNUMBER(SEARCH($C$5,Parameters!$G$16)),"Yes","No – N/A for "&amp;$C$5)))</f>
        <v>Yes</v>
      </c>
    </row>
    <row r="22" customFormat="false" ht="30" hidden="false" customHeight="true" outlineLevel="0" collapsed="false">
      <c r="A22" s="16" t="n">
        <f aca="false">Parameters!$A$17</f>
        <v>13</v>
      </c>
      <c r="B22" s="17" t="str">
        <f aca="false">Parameters!$B$17</f>
        <v>Refractory</v>
      </c>
      <c r="C22" s="17" t="str">
        <f aca="false">Parameters!$C$17</f>
        <v>Door seals and flame curtains intact, no flame out of doors</v>
      </c>
      <c r="D22" s="18" t="str">
        <f aca="false">Parameters!$D$17</f>
        <v>Visual</v>
      </c>
      <c r="E22" s="16" t="str">
        <f aca="false">IF(Parameters!$E$17="","",Parameters!$E$17)</f>
        <v/>
      </c>
      <c r="F22" s="19" t="str">
        <f aca="false">IF(Parameters!$F$17="Check","OK / Not OK",TRIM(IF(Parameters!$I$17&lt;&gt;"","act &lt;"&amp;Parameters!$I$17&amp;"  ","")&amp;IF(Parameters!$J$17&lt;&gt;"","watch &lt;"&amp;Parameters!$J$17&amp;"  ","")&amp;IF(Parameters!$K$17&lt;&gt;"","watch &gt;"&amp;Parameters!$K$17&amp;"  ","")&amp;IF(Parameters!$L$17&lt;&gt;"","act &gt;"&amp;Parameters!$L$17,"")))</f>
        <v>OK / Not OK</v>
      </c>
      <c r="G22" s="20" t="str">
        <f aca="false">IF(Parameters!$H$17="","",Parameters!$H$17)</f>
        <v/>
      </c>
      <c r="H22" s="30" t="s">
        <v>187</v>
      </c>
      <c r="I22" s="30" t="s">
        <v>187</v>
      </c>
      <c r="J22" s="22" t="str">
        <f aca="false">IF(OR(H22="",I22="",Parameters!$F$17="Check"),"",H22-I22)</f>
        <v/>
      </c>
      <c r="K22" s="23" t="str">
        <f aca="false">IF(OR(H22="",G22="",Parameters!$F$17="Check"),"",IF(G22=0,H22-G22,(H22-G22)/ABS(G22)))</f>
        <v/>
      </c>
      <c r="L22" s="24" t="str">
        <f aca="false">IF(LEFT(N22,2)="No","N/A",IF(H22="","",IF(Parameters!$F$17="Check",IF(H22="OK","OK","ACT"),IF(OR(AND(Parameters!$I$17&lt;&gt;"",H22&lt;Parameters!$I$17),AND(Parameters!$L$17&lt;&gt;"",H22&gt;Parameters!$L$17)),"ACT",IF(OR(AND(Parameters!$J$17&lt;&gt;"",H22&lt;Parameters!$J$17),AND(Parameters!$K$17&lt;&gt;"",H22&gt;Parameters!$K$17)),"WATCH","OK")))))</f>
        <v>OK</v>
      </c>
      <c r="M22" s="12"/>
      <c r="N22" s="19" t="str">
        <f aca="false">IF(Parameters!$G$17="All","Yes",IF($C$5="","Yes",IF(ISNUMBER(SEARCH($C$5,Parameters!$G$17)),"Yes","No – N/A for "&amp;$C$5)))</f>
        <v>Yes</v>
      </c>
    </row>
    <row r="23" customFormat="false" ht="30" hidden="false" customHeight="true" outlineLevel="0" collapsed="false">
      <c r="A23" s="16" t="n">
        <f aca="false">Parameters!$A$18</f>
        <v>14</v>
      </c>
      <c r="B23" s="17" t="str">
        <f aca="false">Parameters!$B$18</f>
        <v>Pusher</v>
      </c>
      <c r="C23" s="17" t="str">
        <f aca="false">Parameters!$C$18</f>
        <v>Pusher hydraulic pressure during the push</v>
      </c>
      <c r="D23" s="18" t="str">
        <f aca="false">Parameters!$D$18</f>
        <v>Hydraulic gauge at mid-stroke</v>
      </c>
      <c r="E23" s="16" t="str">
        <f aca="false">IF(Parameters!$E$18="","",Parameters!$E$18)</f>
        <v>bar</v>
      </c>
      <c r="F23" s="19" t="str">
        <f aca="false">IF(Parameters!$F$18="Check","OK / Not OK",TRIM(IF(Parameters!$I$18&lt;&gt;"","act &lt;"&amp;Parameters!$I$18&amp;"  ","")&amp;IF(Parameters!$J$18&lt;&gt;"","watch &lt;"&amp;Parameters!$J$18&amp;"  ","")&amp;IF(Parameters!$K$18&lt;&gt;"","watch &gt;"&amp;Parameters!$K$18&amp;"  ","")&amp;IF(Parameters!$L$18&lt;&gt;"","act &gt;"&amp;Parameters!$L$18,"")))</f>
        <v>watch &gt;110 act &gt;130</v>
      </c>
      <c r="G23" s="20" t="n">
        <f aca="false">IF(Parameters!$H$18="","",Parameters!$H$18)</f>
        <v>80</v>
      </c>
      <c r="H23" s="30" t="n">
        <v>104</v>
      </c>
      <c r="I23" s="30" t="n">
        <v>102</v>
      </c>
      <c r="J23" s="22" t="n">
        <f aca="false">IF(OR(H23="",I23="",Parameters!$F$18="Check"),"",H23-I23)</f>
        <v>2</v>
      </c>
      <c r="K23" s="23" t="n">
        <f aca="false">IF(OR(H23="",G23="",Parameters!$F$18="Check"),"",IF(G23=0,H23-G23,(H23-G23)/ABS(G23)))</f>
        <v>0.3</v>
      </c>
      <c r="L23" s="24" t="str">
        <f aca="false">IF(LEFT(N23,2)="No","N/A",IF(H23="","",IF(Parameters!$F$18="Check",IF(H23="OK","OK","ACT"),IF(OR(AND(Parameters!$I$18&lt;&gt;"",H23&lt;Parameters!$I$18),AND(Parameters!$L$18&lt;&gt;"",H23&gt;Parameters!$L$18)),"ACT",IF(OR(AND(Parameters!$J$18&lt;&gt;"",H23&lt;Parameters!$J$18),AND(Parameters!$K$18&lt;&gt;"",H23&gt;Parameters!$K$18)),"WATCH","OK")))))</f>
        <v>OK</v>
      </c>
      <c r="M23" s="42" t="s">
        <v>188</v>
      </c>
      <c r="N23" s="19" t="str">
        <f aca="false">IF(Parameters!$G$18="All","Yes",IF($C$5="","Yes",IF(ISNUMBER(SEARCH($C$5,Parameters!$G$18)),"Yes","No – N/A for "&amp;$C$5)))</f>
        <v>Yes</v>
      </c>
    </row>
    <row r="24" customFormat="false" ht="30" hidden="false" customHeight="true" outlineLevel="0" collapsed="false">
      <c r="A24" s="16" t="n">
        <f aca="false">Parameters!$A$19</f>
        <v>15</v>
      </c>
      <c r="B24" s="17" t="str">
        <f aca="false">Parameters!$B$19</f>
        <v>Pusher</v>
      </c>
      <c r="C24" s="17" t="str">
        <f aca="false">Parameters!$C$19</f>
        <v>Push stroke time (one full push)</v>
      </c>
      <c r="D24" s="18" t="str">
        <f aca="false">Parameters!$D$19</f>
        <v>Stopwatch / PLC</v>
      </c>
      <c r="E24" s="16" t="str">
        <f aca="false">IF(Parameters!$E$19="","",Parameters!$E$19)</f>
        <v>s</v>
      </c>
      <c r="F24" s="19" t="str">
        <f aca="false">IF(Parameters!$F$19="Check","OK / Not OK",TRIM(IF(Parameters!$I$19&lt;&gt;"","act &lt;"&amp;Parameters!$I$19&amp;"  ","")&amp;IF(Parameters!$J$19&lt;&gt;"","watch &lt;"&amp;Parameters!$J$19&amp;"  ","")&amp;IF(Parameters!$K$19&lt;&gt;"","watch &gt;"&amp;Parameters!$K$19&amp;"  ","")&amp;IF(Parameters!$L$19&lt;&gt;"","act &gt;"&amp;Parameters!$L$19,"")))</f>
        <v>watch &gt;36 act &gt;40</v>
      </c>
      <c r="G24" s="20" t="n">
        <f aca="false">IF(Parameters!$H$19="","",Parameters!$H$19)</f>
        <v>30</v>
      </c>
      <c r="H24" s="30" t="n">
        <v>31</v>
      </c>
      <c r="I24" s="30" t="n">
        <v>31</v>
      </c>
      <c r="J24" s="22" t="n">
        <f aca="false">IF(OR(H24="",I24="",Parameters!$F$19="Check"),"",H24-I24)</f>
        <v>0</v>
      </c>
      <c r="K24" s="23" t="n">
        <f aca="false">IF(OR(H24="",G24="",Parameters!$F$19="Check"),"",IF(G24=0,H24-G24,(H24-G24)/ABS(G24)))</f>
        <v>0.0333333333333333</v>
      </c>
      <c r="L24" s="24" t="str">
        <f aca="false">IF(LEFT(N24,2)="No","N/A",IF(H24="","",IF(Parameters!$F$19="Check",IF(H24="OK","OK","ACT"),IF(OR(AND(Parameters!$I$19&lt;&gt;"",H24&lt;Parameters!$I$19),AND(Parameters!$L$19&lt;&gt;"",H24&gt;Parameters!$L$19)),"ACT",IF(OR(AND(Parameters!$J$19&lt;&gt;"",H24&lt;Parameters!$J$19),AND(Parameters!$K$19&lt;&gt;"",H24&gt;Parameters!$K$19)),"WATCH","OK")))))</f>
        <v>OK</v>
      </c>
      <c r="M24" s="12"/>
      <c r="N24" s="19" t="str">
        <f aca="false">IF(Parameters!$G$19="All","Yes",IF($C$5="","Yes",IF(ISNUMBER(SEARCH($C$5,Parameters!$G$19)),"Yes","No – N/A for "&amp;$C$5)))</f>
        <v>Yes</v>
      </c>
    </row>
    <row r="25" customFormat="false" ht="30" hidden="false" customHeight="true" outlineLevel="0" collapsed="false">
      <c r="A25" s="16" t="n">
        <f aca="false">Parameters!$A$20</f>
        <v>16</v>
      </c>
      <c r="B25" s="17" t="str">
        <f aca="false">Parameters!$B$20</f>
        <v>Pusher</v>
      </c>
      <c r="C25" s="17" t="str">
        <f aca="false">Parameters!$C$20</f>
        <v>Hydraulic oil temperature</v>
      </c>
      <c r="D25" s="18" t="str">
        <f aca="false">Parameters!$D$20</f>
        <v>Tank thermometer</v>
      </c>
      <c r="E25" s="16" t="str">
        <f aca="false">IF(Parameters!$E$20="","",Parameters!$E$20)</f>
        <v>°C</v>
      </c>
      <c r="F25" s="19" t="str">
        <f aca="false">IF(Parameters!$F$20="Check","OK / Not OK",TRIM(IF(Parameters!$I$20&lt;&gt;"","act &lt;"&amp;Parameters!$I$20&amp;"  ","")&amp;IF(Parameters!$J$20&lt;&gt;"","watch &lt;"&amp;Parameters!$J$20&amp;"  ","")&amp;IF(Parameters!$K$20&lt;&gt;"","watch &gt;"&amp;Parameters!$K$20&amp;"  ","")&amp;IF(Parameters!$L$20&lt;&gt;"","act &gt;"&amp;Parameters!$L$20,"")))</f>
        <v>watch &gt;55 act &gt;60</v>
      </c>
      <c r="G25" s="20" t="n">
        <f aca="false">IF(Parameters!$H$20="","",Parameters!$H$20)</f>
        <v>45</v>
      </c>
      <c r="H25" s="30" t="n">
        <v>48</v>
      </c>
      <c r="I25" s="30" t="n">
        <v>47</v>
      </c>
      <c r="J25" s="22" t="n">
        <f aca="false">IF(OR(H25="",I25="",Parameters!$F$20="Check"),"",H25-I25)</f>
        <v>1</v>
      </c>
      <c r="K25" s="23" t="n">
        <f aca="false">IF(OR(H25="",G25="",Parameters!$F$20="Check"),"",IF(G25=0,H25-G25,(H25-G25)/ABS(G25)))</f>
        <v>0.0666666666666667</v>
      </c>
      <c r="L25" s="24" t="str">
        <f aca="false">IF(LEFT(N25,2)="No","N/A",IF(H25="","",IF(Parameters!$F$20="Check",IF(H25="OK","OK","ACT"),IF(OR(AND(Parameters!$I$20&lt;&gt;"",H25&lt;Parameters!$I$20),AND(Parameters!$L$20&lt;&gt;"",H25&gt;Parameters!$L$20)),"ACT",IF(OR(AND(Parameters!$J$20&lt;&gt;"",H25&lt;Parameters!$J$20),AND(Parameters!$K$20&lt;&gt;"",H25&gt;Parameters!$K$20)),"WATCH","OK")))))</f>
        <v>OK</v>
      </c>
      <c r="M25" s="12"/>
      <c r="N25" s="19" t="str">
        <f aca="false">IF(Parameters!$G$20="All","Yes",IF($C$5="","Yes",IF(ISNUMBER(SEARCH($C$5,Parameters!$G$20)),"Yes","No – N/A for "&amp;$C$5)))</f>
        <v>Yes</v>
      </c>
    </row>
    <row r="26" customFormat="false" ht="30" hidden="false" customHeight="true" outlineLevel="0" collapsed="false">
      <c r="A26" s="16" t="n">
        <f aca="false">Parameters!$A$21</f>
        <v>17</v>
      </c>
      <c r="B26" s="17" t="str">
        <f aca="false">Parameters!$B$21</f>
        <v>Pusher</v>
      </c>
      <c r="C26" s="17" t="str">
        <f aca="false">Parameters!$C$21</f>
        <v>Hydraulic oil level and no leaks</v>
      </c>
      <c r="D26" s="18" t="str">
        <f aca="false">Parameters!$D$21</f>
        <v>Sight glass / visual</v>
      </c>
      <c r="E26" s="16" t="str">
        <f aca="false">IF(Parameters!$E$21="","",Parameters!$E$21)</f>
        <v/>
      </c>
      <c r="F26" s="19" t="str">
        <f aca="false">IF(Parameters!$F$21="Check","OK / Not OK",TRIM(IF(Parameters!$I$21&lt;&gt;"","act &lt;"&amp;Parameters!$I$21&amp;"  ","")&amp;IF(Parameters!$J$21&lt;&gt;"","watch &lt;"&amp;Parameters!$J$21&amp;"  ","")&amp;IF(Parameters!$K$21&lt;&gt;"","watch &gt;"&amp;Parameters!$K$21&amp;"  ","")&amp;IF(Parameters!$L$21&lt;&gt;"","act &gt;"&amp;Parameters!$L$21,"")))</f>
        <v>OK / Not OK</v>
      </c>
      <c r="G26" s="20" t="str">
        <f aca="false">IF(Parameters!$H$21="","",Parameters!$H$21)</f>
        <v/>
      </c>
      <c r="H26" s="30" t="s">
        <v>187</v>
      </c>
      <c r="I26" s="30" t="s">
        <v>187</v>
      </c>
      <c r="J26" s="22" t="str">
        <f aca="false">IF(OR(H26="",I26="",Parameters!$F$21="Check"),"",H26-I26)</f>
        <v/>
      </c>
      <c r="K26" s="23" t="str">
        <f aca="false">IF(OR(H26="",G26="",Parameters!$F$21="Check"),"",IF(G26=0,H26-G26,(H26-G26)/ABS(G26)))</f>
        <v/>
      </c>
      <c r="L26" s="24" t="str">
        <f aca="false">IF(LEFT(N26,2)="No","N/A",IF(H26="","",IF(Parameters!$F$21="Check",IF(H26="OK","OK","ACT"),IF(OR(AND(Parameters!$I$21&lt;&gt;"",H26&lt;Parameters!$I$21),AND(Parameters!$L$21&lt;&gt;"",H26&gt;Parameters!$L$21)),"ACT",IF(OR(AND(Parameters!$J$21&lt;&gt;"",H26&lt;Parameters!$J$21),AND(Parameters!$K$21&lt;&gt;"",H26&gt;Parameters!$K$21)),"WATCH","OK")))))</f>
        <v>OK</v>
      </c>
      <c r="M26" s="12"/>
      <c r="N26" s="19" t="str">
        <f aca="false">IF(Parameters!$G$21="All","Yes",IF($C$5="","Yes",IF(ISNUMBER(SEARCH($C$5,Parameters!$G$21)),"Yes","No – N/A for "&amp;$C$5)))</f>
        <v>Yes</v>
      </c>
    </row>
    <row r="27" customFormat="false" ht="30" hidden="false" customHeight="true" outlineLevel="0" collapsed="false">
      <c r="A27" s="16" t="n">
        <f aca="false">Parameters!$A$22</f>
        <v>18</v>
      </c>
      <c r="B27" s="17" t="str">
        <f aca="false">Parameters!$B$22</f>
        <v>Transfer</v>
      </c>
      <c r="C27" s="17" t="str">
        <f aca="false">Parameters!$C$22</f>
        <v>Extractor / rail transfer drive motor current</v>
      </c>
      <c r="D27" s="18" t="str">
        <f aca="false">Parameters!$D$22</f>
        <v>Clamp meter or panel ammeter (% of rated)</v>
      </c>
      <c r="E27" s="16" t="str">
        <f aca="false">IF(Parameters!$E$22="","",Parameters!$E$22)</f>
        <v>% FLA</v>
      </c>
      <c r="F27" s="19" t="str">
        <f aca="false">IF(Parameters!$F$22="Check","OK / Not OK",TRIM(IF(Parameters!$I$22&lt;&gt;"","act &lt;"&amp;Parameters!$I$22&amp;"  ","")&amp;IF(Parameters!$J$22&lt;&gt;"","watch &lt;"&amp;Parameters!$J$22&amp;"  ","")&amp;IF(Parameters!$K$22&lt;&gt;"","watch &gt;"&amp;Parameters!$K$22&amp;"  ","")&amp;IF(Parameters!$L$22&lt;&gt;"","act &gt;"&amp;Parameters!$L$22,"")))</f>
        <v>watch &gt;80 act &gt;90</v>
      </c>
      <c r="G27" s="20" t="n">
        <f aca="false">IF(Parameters!$H$22="","",Parameters!$H$22)</f>
        <v>60</v>
      </c>
      <c r="H27" s="30" t="n">
        <v>64</v>
      </c>
      <c r="I27" s="30" t="n">
        <v>63</v>
      </c>
      <c r="J27" s="22" t="n">
        <f aca="false">IF(OR(H27="",I27="",Parameters!$F$22="Check"),"",H27-I27)</f>
        <v>1</v>
      </c>
      <c r="K27" s="23" t="n">
        <f aca="false">IF(OR(H27="",G27="",Parameters!$F$22="Check"),"",IF(G27=0,H27-G27,(H27-G27)/ABS(G27)))</f>
        <v>0.0666666666666667</v>
      </c>
      <c r="L27" s="24" t="str">
        <f aca="false">IF(LEFT(N27,2)="No","N/A",IF(H27="","",IF(Parameters!$F$22="Check",IF(H27="OK","OK","ACT"),IF(OR(AND(Parameters!$I$22&lt;&gt;"",H27&lt;Parameters!$I$22),AND(Parameters!$L$22&lt;&gt;"",H27&gt;Parameters!$L$22)),"ACT",IF(OR(AND(Parameters!$J$22&lt;&gt;"",H27&lt;Parameters!$J$22),AND(Parameters!$K$22&lt;&gt;"",H27&gt;Parameters!$K$22)),"WATCH","OK")))))</f>
        <v>OK</v>
      </c>
      <c r="M27" s="12"/>
      <c r="N27" s="19" t="str">
        <f aca="false">IF(Parameters!$G$22="All","Yes",IF($C$5="","Yes",IF(ISNUMBER(SEARCH($C$5,Parameters!$G$22)),"Yes","No – N/A for "&amp;$C$5)))</f>
        <v>Yes</v>
      </c>
    </row>
    <row r="28" customFormat="false" ht="30" hidden="false" customHeight="true" outlineLevel="0" collapsed="false">
      <c r="A28" s="16" t="n">
        <f aca="false">Parameters!$A$23</f>
        <v>19</v>
      </c>
      <c r="B28" s="17" t="str">
        <f aca="false">Parameters!$B$23</f>
        <v>Transfer</v>
      </c>
      <c r="C28" s="17" t="str">
        <f aca="false">Parameters!$C$23</f>
        <v>Chains, rails and rollers: lubricated, no abnormal noise</v>
      </c>
      <c r="D28" s="18" t="str">
        <f aca="false">Parameters!$D$23</f>
        <v>Visual / listen</v>
      </c>
      <c r="E28" s="16" t="str">
        <f aca="false">IF(Parameters!$E$23="","",Parameters!$E$23)</f>
        <v/>
      </c>
      <c r="F28" s="19" t="str">
        <f aca="false">IF(Parameters!$F$23="Check","OK / Not OK",TRIM(IF(Parameters!$I$23&lt;&gt;"","act &lt;"&amp;Parameters!$I$23&amp;"  ","")&amp;IF(Parameters!$J$23&lt;&gt;"","watch &lt;"&amp;Parameters!$J$23&amp;"  ","")&amp;IF(Parameters!$K$23&lt;&gt;"","watch &gt;"&amp;Parameters!$K$23&amp;"  ","")&amp;IF(Parameters!$L$23&lt;&gt;"","act &gt;"&amp;Parameters!$L$23,"")))</f>
        <v>OK / Not OK</v>
      </c>
      <c r="G28" s="20" t="str">
        <f aca="false">IF(Parameters!$H$23="","",Parameters!$H$23)</f>
        <v/>
      </c>
      <c r="H28" s="30" t="s">
        <v>187</v>
      </c>
      <c r="I28" s="30" t="s">
        <v>187</v>
      </c>
      <c r="J28" s="22" t="str">
        <f aca="false">IF(OR(H28="",I28="",Parameters!$F$23="Check"),"",H28-I28)</f>
        <v/>
      </c>
      <c r="K28" s="23" t="str">
        <f aca="false">IF(OR(H28="",G28="",Parameters!$F$23="Check"),"",IF(G28=0,H28-G28,(H28-G28)/ABS(G28)))</f>
        <v/>
      </c>
      <c r="L28" s="24" t="str">
        <f aca="false">IF(LEFT(N28,2)="No","N/A",IF(H28="","",IF(Parameters!$F$23="Check",IF(H28="OK","OK","ACT"),IF(OR(AND(Parameters!$I$23&lt;&gt;"",H28&lt;Parameters!$I$23),AND(Parameters!$L$23&lt;&gt;"",H28&gt;Parameters!$L$23)),"ACT",IF(OR(AND(Parameters!$J$23&lt;&gt;"",H28&lt;Parameters!$J$23),AND(Parameters!$K$23&lt;&gt;"",H28&gt;Parameters!$K$23)),"WATCH","OK")))))</f>
        <v>OK</v>
      </c>
      <c r="M28" s="12"/>
      <c r="N28" s="19" t="str">
        <f aca="false">IF(Parameters!$G$23="All","Yes",IF($C$5="","Yes",IF(ISNUMBER(SEARCH($C$5,Parameters!$G$23)),"Yes","No – N/A for "&amp;$C$5)))</f>
        <v>Yes</v>
      </c>
    </row>
    <row r="29" customFormat="false" ht="30" hidden="false" customHeight="true" outlineLevel="0" collapsed="false">
      <c r="A29" s="16" t="n">
        <f aca="false">Parameters!$A$24</f>
        <v>20</v>
      </c>
      <c r="B29" s="17" t="str">
        <f aca="false">Parameters!$B$24</f>
        <v>Controlled cooling</v>
      </c>
      <c r="C29" s="17" t="str">
        <f aca="false">Parameters!$C$24</f>
        <v>Cooling chamber blower motor current</v>
      </c>
      <c r="D29" s="18" t="str">
        <f aca="false">Parameters!$D$24</f>
        <v>Clamp meter or panel ammeter (% of rated)</v>
      </c>
      <c r="E29" s="16" t="str">
        <f aca="false">IF(Parameters!$E$24="","",Parameters!$E$24)</f>
        <v>% FLA</v>
      </c>
      <c r="F29" s="19" t="str">
        <f aca="false">IF(Parameters!$F$24="Check","OK / Not OK",TRIM(IF(Parameters!$I$24&lt;&gt;"","act &lt;"&amp;Parameters!$I$24&amp;"  ","")&amp;IF(Parameters!$J$24&lt;&gt;"","watch &lt;"&amp;Parameters!$J$24&amp;"  ","")&amp;IF(Parameters!$K$24&lt;&gt;"","watch &gt;"&amp;Parameters!$K$24&amp;"  ","")&amp;IF(Parameters!$L$24&lt;&gt;"","act &gt;"&amp;Parameters!$L$24,"")))</f>
        <v>act &lt;45 watch &lt;55 watch &gt;85 act &gt;95</v>
      </c>
      <c r="G29" s="20" t="n">
        <f aca="false">IF(Parameters!$H$24="","",Parameters!$H$24)</f>
        <v>70</v>
      </c>
      <c r="H29" s="30" t="n">
        <v>71</v>
      </c>
      <c r="I29" s="30" t="n">
        <v>70</v>
      </c>
      <c r="J29" s="22" t="n">
        <f aca="false">IF(OR(H29="",I29="",Parameters!$F$24="Check"),"",H29-I29)</f>
        <v>1</v>
      </c>
      <c r="K29" s="23" t="n">
        <f aca="false">IF(OR(H29="",G29="",Parameters!$F$24="Check"),"",IF(G29=0,H29-G29,(H29-G29)/ABS(G29)))</f>
        <v>0.0142857142857143</v>
      </c>
      <c r="L29" s="24" t="str">
        <f aca="false">IF(LEFT(N29,2)="No","N/A",IF(H29="","",IF(Parameters!$F$24="Check",IF(H29="OK","OK","ACT"),IF(OR(AND(Parameters!$I$24&lt;&gt;"",H29&lt;Parameters!$I$24),AND(Parameters!$L$24&lt;&gt;"",H29&gt;Parameters!$L$24)),"ACT",IF(OR(AND(Parameters!$J$24&lt;&gt;"",H29&lt;Parameters!$J$24),AND(Parameters!$K$24&lt;&gt;"",H29&gt;Parameters!$K$24)),"WATCH","OK")))))</f>
        <v>OK</v>
      </c>
      <c r="M29" s="12"/>
      <c r="N29" s="19" t="str">
        <f aca="false">IF(Parameters!$G$24="All","Yes",IF($C$5="","Yes",IF(ISNUMBER(SEARCH($C$5,Parameters!$G$24)),"Yes","No – N/A for "&amp;$C$5)))</f>
        <v>Yes</v>
      </c>
    </row>
    <row r="30" customFormat="false" ht="30" hidden="false" customHeight="true" outlineLevel="0" collapsed="false">
      <c r="A30" s="16" t="n">
        <f aca="false">Parameters!$A$25</f>
        <v>21</v>
      </c>
      <c r="B30" s="17" t="str">
        <f aca="false">Parameters!$B$25</f>
        <v>Controlled cooling</v>
      </c>
      <c r="C30" s="17" t="str">
        <f aca="false">Parameters!$C$25</f>
        <v>Cooling chamber blower bearing vibration</v>
      </c>
      <c r="D30" s="18" t="str">
        <f aca="false">Parameters!$D$25</f>
        <v>Handheld vibration meter, velocity RMS</v>
      </c>
      <c r="E30" s="16" t="str">
        <f aca="false">IF(Parameters!$E$25="","",Parameters!$E$25)</f>
        <v>mm/s</v>
      </c>
      <c r="F30" s="19" t="str">
        <f aca="false">IF(Parameters!$F$25="Check","OK / Not OK",TRIM(IF(Parameters!$I$25&lt;&gt;"","act &lt;"&amp;Parameters!$I$25&amp;"  ","")&amp;IF(Parameters!$J$25&lt;&gt;"","watch &lt;"&amp;Parameters!$J$25&amp;"  ","")&amp;IF(Parameters!$K$25&lt;&gt;"","watch &gt;"&amp;Parameters!$K$25&amp;"  ","")&amp;IF(Parameters!$L$25&lt;&gt;"","act &gt;"&amp;Parameters!$L$25,"")))</f>
        <v>watch &gt;2.8 act &gt;4.5</v>
      </c>
      <c r="G30" s="20" t="n">
        <f aca="false">IF(Parameters!$H$25="","",Parameters!$H$25)</f>
        <v>1.5</v>
      </c>
      <c r="H30" s="30" t="n">
        <v>1.6</v>
      </c>
      <c r="I30" s="30" t="n">
        <v>1.6</v>
      </c>
      <c r="J30" s="22" t="n">
        <f aca="false">IF(OR(H30="",I30="",Parameters!$F$25="Check"),"",H30-I30)</f>
        <v>0</v>
      </c>
      <c r="K30" s="23" t="n">
        <f aca="false">IF(OR(H30="",G30="",Parameters!$F$25="Check"),"",IF(G30=0,H30-G30,(H30-G30)/ABS(G30)))</f>
        <v>0.0666666666666667</v>
      </c>
      <c r="L30" s="24" t="str">
        <f aca="false">IF(LEFT(N30,2)="No","N/A",IF(H30="","",IF(Parameters!$F$25="Check",IF(H30="OK","OK","ACT"),IF(OR(AND(Parameters!$I$25&lt;&gt;"",H30&lt;Parameters!$I$25),AND(Parameters!$L$25&lt;&gt;"",H30&gt;Parameters!$L$25)),"ACT",IF(OR(AND(Parameters!$J$25&lt;&gt;"",H30&lt;Parameters!$J$25),AND(Parameters!$K$25&lt;&gt;"",H30&gt;Parameters!$K$25)),"WATCH","OK")))))</f>
        <v>OK</v>
      </c>
      <c r="M30" s="12"/>
      <c r="N30" s="19" t="str">
        <f aca="false">IF(Parameters!$G$25="All","Yes",IF($C$5="","Yes",IF(ISNUMBER(SEARCH($C$5,Parameters!$G$25)),"Yes","No – N/A for "&amp;$C$5)))</f>
        <v>Yes</v>
      </c>
    </row>
    <row r="31" customFormat="false" ht="30" hidden="false" customHeight="true" outlineLevel="0" collapsed="false">
      <c r="A31" s="16" t="n">
        <f aca="false">Parameters!$A$26</f>
        <v>22</v>
      </c>
      <c r="B31" s="17" t="str">
        <f aca="false">Parameters!$B$26</f>
        <v>Quench</v>
      </c>
      <c r="C31" s="17" t="str">
        <f aca="false">Parameters!$C$26</f>
        <v>Water quench tank temperature at the start of the shift</v>
      </c>
      <c r="D31" s="18" t="str">
        <f aca="false">Parameters!$D$26</f>
        <v>Tank indicator / thermometer</v>
      </c>
      <c r="E31" s="16" t="str">
        <f aca="false">IF(Parameters!$E$26="","",Parameters!$E$26)</f>
        <v>°C</v>
      </c>
      <c r="F31" s="19" t="str">
        <f aca="false">IF(Parameters!$F$26="Check","OK / Not OK",TRIM(IF(Parameters!$I$26&lt;&gt;"","act &lt;"&amp;Parameters!$I$26&amp;"  ","")&amp;IF(Parameters!$J$26&lt;&gt;"","watch &lt;"&amp;Parameters!$J$26&amp;"  ","")&amp;IF(Parameters!$K$26&lt;&gt;"","watch &gt;"&amp;Parameters!$K$26&amp;"  ","")&amp;IF(Parameters!$L$26&lt;&gt;"","act &gt;"&amp;Parameters!$L$26,"")))</f>
        <v>watch &gt;32 act &gt;35</v>
      </c>
      <c r="G31" s="20" t="n">
        <f aca="false">IF(Parameters!$H$26="","",Parameters!$H$26)</f>
        <v>28</v>
      </c>
      <c r="H31" s="21"/>
      <c r="I31" s="21"/>
      <c r="J31" s="22" t="str">
        <f aca="false">IF(OR(H31="",I31="",Parameters!$F$26="Check"),"",H31-I31)</f>
        <v/>
      </c>
      <c r="K31" s="23" t="str">
        <f aca="false">IF(OR(H31="",G31="",Parameters!$F$26="Check"),"",IF(G31=0,H31-G31,(H31-G31)/ABS(G31)))</f>
        <v/>
      </c>
      <c r="L31" s="24" t="str">
        <f aca="false">IF(LEFT(N31,2)="No","N/A",IF(H31="","",IF(Parameters!$F$26="Check",IF(H31="OK","OK","ACT"),IF(OR(AND(Parameters!$I$26&lt;&gt;"",H31&lt;Parameters!$I$26),AND(Parameters!$L$26&lt;&gt;"",H31&gt;Parameters!$L$26)),"ACT",IF(OR(AND(Parameters!$J$26&lt;&gt;"",H31&lt;Parameters!$J$26),AND(Parameters!$K$26&lt;&gt;"",H31&gt;Parameters!$K$26)),"WATCH","OK")))))</f>
        <v>N/A</v>
      </c>
      <c r="M31" s="12"/>
      <c r="N31" s="19" t="str">
        <f aca="false">IF(Parameters!$G$26="All","Yes",IF($C$5="","Yes",IF(ISNUMBER(SEARCH($C$5,Parameters!$G$26)),"Yes","No – N/A for "&amp;$C$5)))</f>
        <v>No – N/A for F-02</v>
      </c>
    </row>
    <row r="32" customFormat="false" ht="30" hidden="false" customHeight="true" outlineLevel="0" collapsed="false">
      <c r="A32" s="16" t="n">
        <f aca="false">Parameters!$A$27</f>
        <v>23</v>
      </c>
      <c r="B32" s="17" t="str">
        <f aca="false">Parameters!$B$27</f>
        <v>Quench</v>
      </c>
      <c r="C32" s="17" t="str">
        <f aca="false">Parameters!$C$27</f>
        <v>Oil quench tank temperature at the start of the shift</v>
      </c>
      <c r="D32" s="18" t="str">
        <f aca="false">Parameters!$D$27</f>
        <v>Tank indicator / thermometer</v>
      </c>
      <c r="E32" s="16" t="str">
        <f aca="false">IF(Parameters!$E$27="","",Parameters!$E$27)</f>
        <v>°C</v>
      </c>
      <c r="F32" s="19" t="str">
        <f aca="false">IF(Parameters!$F$27="Check","OK / Not OK",TRIM(IF(Parameters!$I$27&lt;&gt;"","act &lt;"&amp;Parameters!$I$27&amp;"  ","")&amp;IF(Parameters!$J$27&lt;&gt;"","watch &lt;"&amp;Parameters!$J$27&amp;"  ","")&amp;IF(Parameters!$K$27&lt;&gt;"","watch &gt;"&amp;Parameters!$K$27&amp;"  ","")&amp;IF(Parameters!$L$27&lt;&gt;"","act &gt;"&amp;Parameters!$L$27,"")))</f>
        <v>act &lt;50 watch &lt;54 watch &gt;76 act &gt;80</v>
      </c>
      <c r="G32" s="20" t="n">
        <f aca="false">IF(Parameters!$H$27="","",Parameters!$H$27)</f>
        <v>62</v>
      </c>
      <c r="H32" s="30" t="n">
        <v>66</v>
      </c>
      <c r="I32" s="30" t="n">
        <v>64</v>
      </c>
      <c r="J32" s="22" t="n">
        <f aca="false">IF(OR(H32="",I32="",Parameters!$F$27="Check"),"",H32-I32)</f>
        <v>2</v>
      </c>
      <c r="K32" s="23" t="n">
        <f aca="false">IF(OR(H32="",G32="",Parameters!$F$27="Check"),"",IF(G32=0,H32-G32,(H32-G32)/ABS(G32)))</f>
        <v>0.0645161290322581</v>
      </c>
      <c r="L32" s="24" t="str">
        <f aca="false">IF(LEFT(N32,2)="No","N/A",IF(H32="","",IF(Parameters!$F$27="Check",IF(H32="OK","OK","ACT"),IF(OR(AND(Parameters!$I$27&lt;&gt;"",H32&lt;Parameters!$I$27),AND(Parameters!$L$27&lt;&gt;"",H32&gt;Parameters!$L$27)),"ACT",IF(OR(AND(Parameters!$J$27&lt;&gt;"",H32&lt;Parameters!$J$27),AND(Parameters!$K$27&lt;&gt;"",H32&gt;Parameters!$K$27)),"WATCH","OK")))))</f>
        <v>OK</v>
      </c>
      <c r="M32" s="12"/>
      <c r="N32" s="19" t="str">
        <f aca="false">IF(Parameters!$G$27="All","Yes",IF($C$5="","Yes",IF(ISNUMBER(SEARCH($C$5,Parameters!$G$27)),"Yes","No – N/A for "&amp;$C$5)))</f>
        <v>Yes</v>
      </c>
    </row>
    <row r="33" customFormat="false" ht="30" hidden="false" customHeight="true" outlineLevel="0" collapsed="false">
      <c r="A33" s="16" t="n">
        <f aca="false">Parameters!$A$28</f>
        <v>24</v>
      </c>
      <c r="B33" s="17" t="str">
        <f aca="false">Parameters!$B$28</f>
        <v>Quench</v>
      </c>
      <c r="C33" s="17" t="str">
        <f aca="false">Parameters!$C$28</f>
        <v>Quench agitator motor current (agitation is not monitored: current is the indicator)</v>
      </c>
      <c r="D33" s="18" t="str">
        <f aca="false">Parameters!$D$28</f>
        <v>Clamp meter or panel ammeter (% of rated)</v>
      </c>
      <c r="E33" s="16" t="str">
        <f aca="false">IF(Parameters!$E$28="","",Parameters!$E$28)</f>
        <v>% FLA</v>
      </c>
      <c r="F33" s="19" t="str">
        <f aca="false">IF(Parameters!$F$28="Check","OK / Not OK",TRIM(IF(Parameters!$I$28&lt;&gt;"","act &lt;"&amp;Parameters!$I$28&amp;"  ","")&amp;IF(Parameters!$J$28&lt;&gt;"","watch &lt;"&amp;Parameters!$J$28&amp;"  ","")&amp;IF(Parameters!$K$28&lt;&gt;"","watch &gt;"&amp;Parameters!$K$28&amp;"  ","")&amp;IF(Parameters!$L$28&lt;&gt;"","act &gt;"&amp;Parameters!$L$28,"")))</f>
        <v>act &lt;45 watch &lt;55 watch &gt;90 act &gt;100</v>
      </c>
      <c r="G33" s="20" t="n">
        <f aca="false">IF(Parameters!$H$28="","",Parameters!$H$28)</f>
        <v>70</v>
      </c>
      <c r="H33" s="30" t="n">
        <v>56</v>
      </c>
      <c r="I33" s="30" t="n">
        <v>58</v>
      </c>
      <c r="J33" s="22" t="n">
        <f aca="false">IF(OR(H33="",I33="",Parameters!$F$28="Check"),"",H33-I33)</f>
        <v>-2</v>
      </c>
      <c r="K33" s="23" t="n">
        <f aca="false">IF(OR(H33="",G33="",Parameters!$F$28="Check"),"",IF(G33=0,H33-G33,(H33-G33)/ABS(G33)))</f>
        <v>-0.2</v>
      </c>
      <c r="L33" s="24" t="str">
        <f aca="false">IF(LEFT(N33,2)="No","N/A",IF(H33="","",IF(Parameters!$F$28="Check",IF(H33="OK","OK","ACT"),IF(OR(AND(Parameters!$I$28&lt;&gt;"",H33&lt;Parameters!$I$28),AND(Parameters!$L$28&lt;&gt;"",H33&gt;Parameters!$L$28)),"ACT",IF(OR(AND(Parameters!$J$28&lt;&gt;"",H33&lt;Parameters!$J$28),AND(Parameters!$K$28&lt;&gt;"",H33&gt;Parameters!$K$28)),"WATCH","OK")))))</f>
        <v>OK</v>
      </c>
      <c r="M33" s="42" t="s">
        <v>189</v>
      </c>
      <c r="N33" s="19" t="str">
        <f aca="false">IF(Parameters!$G$28="All","Yes",IF($C$5="","Yes",IF(ISNUMBER(SEARCH($C$5,Parameters!$G$28)),"Yes","No – N/A for "&amp;$C$5)))</f>
        <v>Yes</v>
      </c>
    </row>
    <row r="34" customFormat="false" ht="30" hidden="false" customHeight="true" outlineLevel="0" collapsed="false">
      <c r="A34" s="16" t="n">
        <f aca="false">Parameters!$A$29</f>
        <v>25</v>
      </c>
      <c r="B34" s="17" t="str">
        <f aca="false">Parameters!$B$29</f>
        <v>Quench</v>
      </c>
      <c r="C34" s="17" t="str">
        <f aca="false">Parameters!$C$29</f>
        <v>Oil cooler temperature drop (oil in − oil out)</v>
      </c>
      <c r="D34" s="18" t="str">
        <f aca="false">Parameters!$D$29</f>
        <v>Thermometers at the cooler</v>
      </c>
      <c r="E34" s="16" t="str">
        <f aca="false">IF(Parameters!$E$29="","",Parameters!$E$29)</f>
        <v>°C</v>
      </c>
      <c r="F34" s="19" t="str">
        <f aca="false">IF(Parameters!$F$29="Check","OK / Not OK",TRIM(IF(Parameters!$I$29&lt;&gt;"","act &lt;"&amp;Parameters!$I$29&amp;"  ","")&amp;IF(Parameters!$J$29&lt;&gt;"","watch &lt;"&amp;Parameters!$J$29&amp;"  ","")&amp;IF(Parameters!$K$29&lt;&gt;"","watch &gt;"&amp;Parameters!$K$29&amp;"  ","")&amp;IF(Parameters!$L$29&lt;&gt;"","act &gt;"&amp;Parameters!$L$29,"")))</f>
        <v>act &lt;3 watch &lt;5</v>
      </c>
      <c r="G34" s="20" t="n">
        <f aca="false">IF(Parameters!$H$29="","",Parameters!$H$29)</f>
        <v>8</v>
      </c>
      <c r="H34" s="30" t="n">
        <v>7</v>
      </c>
      <c r="I34" s="30" t="n">
        <v>7</v>
      </c>
      <c r="J34" s="22" t="n">
        <f aca="false">IF(OR(H34="",I34="",Parameters!$F$29="Check"),"",H34-I34)</f>
        <v>0</v>
      </c>
      <c r="K34" s="23" t="n">
        <f aca="false">IF(OR(H34="",G34="",Parameters!$F$29="Check"),"",IF(G34=0,H34-G34,(H34-G34)/ABS(G34)))</f>
        <v>-0.125</v>
      </c>
      <c r="L34" s="24" t="str">
        <f aca="false">IF(LEFT(N34,2)="No","N/A",IF(H34="","",IF(Parameters!$F$29="Check",IF(H34="OK","OK","ACT"),IF(OR(AND(Parameters!$I$29&lt;&gt;"",H34&lt;Parameters!$I$29),AND(Parameters!$L$29&lt;&gt;"",H34&gt;Parameters!$L$29)),"ACT",IF(OR(AND(Parameters!$J$29&lt;&gt;"",H34&lt;Parameters!$J$29),AND(Parameters!$K$29&lt;&gt;"",H34&gt;Parameters!$K$29)),"WATCH","OK")))))</f>
        <v>OK</v>
      </c>
      <c r="M34" s="12"/>
      <c r="N34" s="19" t="str">
        <f aca="false">IF(Parameters!$G$29="All","Yes",IF($C$5="","Yes",IF(ISNUMBER(SEARCH($C$5,Parameters!$G$29)),"Yes","No – N/A for "&amp;$C$5)))</f>
        <v>Yes</v>
      </c>
    </row>
    <row r="35" customFormat="false" ht="30" hidden="false" customHeight="true" outlineLevel="0" collapsed="false">
      <c r="A35" s="16" t="n">
        <f aca="false">Parameters!$A$30</f>
        <v>26</v>
      </c>
      <c r="B35" s="17" t="str">
        <f aca="false">Parameters!$B$30</f>
        <v>Quench</v>
      </c>
      <c r="C35" s="17" t="str">
        <f aca="false">Parameters!$C$30</f>
        <v>Quench elevator / conveyor: no abnormal noise, chain tension</v>
      </c>
      <c r="D35" s="18" t="str">
        <f aca="false">Parameters!$D$30</f>
        <v>Visual / listen</v>
      </c>
      <c r="E35" s="16" t="str">
        <f aca="false">IF(Parameters!$E$30="","",Parameters!$E$30)</f>
        <v/>
      </c>
      <c r="F35" s="19" t="str">
        <f aca="false">IF(Parameters!$F$30="Check","OK / Not OK",TRIM(IF(Parameters!$I$30&lt;&gt;"","act &lt;"&amp;Parameters!$I$30&amp;"  ","")&amp;IF(Parameters!$J$30&lt;&gt;"","watch &lt;"&amp;Parameters!$J$30&amp;"  ","")&amp;IF(Parameters!$K$30&lt;&gt;"","watch &gt;"&amp;Parameters!$K$30&amp;"  ","")&amp;IF(Parameters!$L$30&lt;&gt;"","act &gt;"&amp;Parameters!$L$30,"")))</f>
        <v>OK / Not OK</v>
      </c>
      <c r="G35" s="20" t="str">
        <f aca="false">IF(Parameters!$H$30="","",Parameters!$H$30)</f>
        <v/>
      </c>
      <c r="H35" s="30" t="s">
        <v>187</v>
      </c>
      <c r="I35" s="30" t="s">
        <v>187</v>
      </c>
      <c r="J35" s="22" t="str">
        <f aca="false">IF(OR(H35="",I35="",Parameters!$F$30="Check"),"",H35-I35)</f>
        <v/>
      </c>
      <c r="K35" s="23" t="str">
        <f aca="false">IF(OR(H35="",G35="",Parameters!$F$30="Check"),"",IF(G35=0,H35-G35,(H35-G35)/ABS(G35)))</f>
        <v/>
      </c>
      <c r="L35" s="24" t="str">
        <f aca="false">IF(LEFT(N35,2)="No","N/A",IF(H35="","",IF(Parameters!$F$30="Check",IF(H35="OK","OK","ACT"),IF(OR(AND(Parameters!$I$30&lt;&gt;"",H35&lt;Parameters!$I$30),AND(Parameters!$L$30&lt;&gt;"",H35&gt;Parameters!$L$30)),"ACT",IF(OR(AND(Parameters!$J$30&lt;&gt;"",H35&lt;Parameters!$J$30),AND(Parameters!$K$30&lt;&gt;"",H35&gt;Parameters!$K$30)),"WATCH","OK")))))</f>
        <v>OK</v>
      </c>
      <c r="M35" s="12"/>
      <c r="N35" s="19" t="str">
        <f aca="false">IF(Parameters!$G$30="All","Yes",IF($C$5="","Yes",IF(ISNUMBER(SEARCH($C$5,Parameters!$G$30)),"Yes","No – N/A for "&amp;$C$5)))</f>
        <v>Yes</v>
      </c>
    </row>
    <row r="36" customFormat="false" ht="30" hidden="false" customHeight="true" outlineLevel="0" collapsed="false">
      <c r="A36" s="16" t="n">
        <f aca="false">Parameters!$A$31</f>
        <v>27</v>
      </c>
      <c r="B36" s="17" t="str">
        <f aca="false">Parameters!$B$31</f>
        <v>Electrical</v>
      </c>
      <c r="C36" s="17" t="str">
        <f aca="false">Parameters!$C$31</f>
        <v>Control panel internal temperature</v>
      </c>
      <c r="D36" s="18" t="str">
        <f aca="false">Parameters!$D$31</f>
        <v>Panel thermometer / IR</v>
      </c>
      <c r="E36" s="16" t="str">
        <f aca="false">IF(Parameters!$E$31="","",Parameters!$E$31)</f>
        <v>°C</v>
      </c>
      <c r="F36" s="19" t="str">
        <f aca="false">IF(Parameters!$F$31="Check","OK / Not OK",TRIM(IF(Parameters!$I$31&lt;&gt;"","act &lt;"&amp;Parameters!$I$31&amp;"  ","")&amp;IF(Parameters!$J$31&lt;&gt;"","watch &lt;"&amp;Parameters!$J$31&amp;"  ","")&amp;IF(Parameters!$K$31&lt;&gt;"","watch &gt;"&amp;Parameters!$K$31&amp;"  ","")&amp;IF(Parameters!$L$31&lt;&gt;"","act &gt;"&amp;Parameters!$L$31,"")))</f>
        <v>watch &gt;40 act &gt;45</v>
      </c>
      <c r="G36" s="20" t="n">
        <f aca="false">IF(Parameters!$H$31="","",Parameters!$H$31)</f>
        <v>35</v>
      </c>
      <c r="H36" s="30" t="n">
        <v>37</v>
      </c>
      <c r="I36" s="30" t="n">
        <v>36</v>
      </c>
      <c r="J36" s="22" t="n">
        <f aca="false">IF(OR(H36="",I36="",Parameters!$F$31="Check"),"",H36-I36)</f>
        <v>1</v>
      </c>
      <c r="K36" s="23" t="n">
        <f aca="false">IF(OR(H36="",G36="",Parameters!$F$31="Check"),"",IF(G36=0,H36-G36,(H36-G36)/ABS(G36)))</f>
        <v>0.0571428571428571</v>
      </c>
      <c r="L36" s="24" t="str">
        <f aca="false">IF(LEFT(N36,2)="No","N/A",IF(H36="","",IF(Parameters!$F$31="Check",IF(H36="OK","OK","ACT"),IF(OR(AND(Parameters!$I$31&lt;&gt;"",H36&lt;Parameters!$I$31),AND(Parameters!$L$31&lt;&gt;"",H36&gt;Parameters!$L$31)),"ACT",IF(OR(AND(Parameters!$J$31&lt;&gt;"",H36&lt;Parameters!$J$31),AND(Parameters!$K$31&lt;&gt;"",H36&gt;Parameters!$K$31)),"WATCH","OK")))))</f>
        <v>OK</v>
      </c>
      <c r="M36" s="12"/>
      <c r="N36" s="19" t="str">
        <f aca="false">IF(Parameters!$G$31="All","Yes",IF($C$5="","Yes",IF(ISNUMBER(SEARCH($C$5,Parameters!$G$31)),"Yes","No – N/A for "&amp;$C$5)))</f>
        <v>Yes</v>
      </c>
    </row>
    <row r="37" customFormat="false" ht="30" hidden="false" customHeight="true" outlineLevel="0" collapsed="false">
      <c r="A37" s="16" t="n">
        <f aca="false">Parameters!$A$32</f>
        <v>28</v>
      </c>
      <c r="B37" s="17" t="str">
        <f aca="false">Parameters!$B$32</f>
        <v>Electrical</v>
      </c>
      <c r="C37" s="17" t="str">
        <f aca="false">Parameters!$C$32</f>
        <v>Thermocouple heads, compensating cables and connections intact</v>
      </c>
      <c r="D37" s="18" t="str">
        <f aca="false">Parameters!$D$32</f>
        <v>Visual</v>
      </c>
      <c r="E37" s="16" t="str">
        <f aca="false">IF(Parameters!$E$32="","",Parameters!$E$32)</f>
        <v/>
      </c>
      <c r="F37" s="19" t="str">
        <f aca="false">IF(Parameters!$F$32="Check","OK / Not OK",TRIM(IF(Parameters!$I$32&lt;&gt;"","act &lt;"&amp;Parameters!$I$32&amp;"  ","")&amp;IF(Parameters!$J$32&lt;&gt;"","watch &lt;"&amp;Parameters!$J$32&amp;"  ","")&amp;IF(Parameters!$K$32&lt;&gt;"","watch &gt;"&amp;Parameters!$K$32&amp;"  ","")&amp;IF(Parameters!$L$32&lt;&gt;"","act &gt;"&amp;Parameters!$L$32,"")))</f>
        <v>OK / Not OK</v>
      </c>
      <c r="G37" s="20" t="str">
        <f aca="false">IF(Parameters!$H$32="","",Parameters!$H$32)</f>
        <v/>
      </c>
      <c r="H37" s="30" t="s">
        <v>187</v>
      </c>
      <c r="I37" s="30" t="s">
        <v>187</v>
      </c>
      <c r="J37" s="22" t="str">
        <f aca="false">IF(OR(H37="",I37="",Parameters!$F$32="Check"),"",H37-I37)</f>
        <v/>
      </c>
      <c r="K37" s="23" t="str">
        <f aca="false">IF(OR(H37="",G37="",Parameters!$F$32="Check"),"",IF(G37=0,H37-G37,(H37-G37)/ABS(G37)))</f>
        <v/>
      </c>
      <c r="L37" s="24" t="str">
        <f aca="false">IF(LEFT(N37,2)="No","N/A",IF(H37="","",IF(Parameters!$F$32="Check",IF(H37="OK","OK","ACT"),IF(OR(AND(Parameters!$I$32&lt;&gt;"",H37&lt;Parameters!$I$32),AND(Parameters!$L$32&lt;&gt;"",H37&gt;Parameters!$L$32)),"ACT",IF(OR(AND(Parameters!$J$32&lt;&gt;"",H37&lt;Parameters!$J$32),AND(Parameters!$K$32&lt;&gt;"",H37&gt;Parameters!$K$32)),"WATCH","OK")))))</f>
        <v>OK</v>
      </c>
      <c r="M37" s="12"/>
      <c r="N37" s="19" t="str">
        <f aca="false">IF(Parameters!$G$32="All","Yes",IF($C$5="","Yes",IF(ISNUMBER(SEARCH($C$5,Parameters!$G$32)),"Yes","No – N/A for "&amp;$C$5)))</f>
        <v>Yes</v>
      </c>
    </row>
    <row r="39" customFormat="false" ht="15" hidden="false" customHeight="true" outlineLevel="0" collapsed="false">
      <c r="A39" s="7" t="s">
        <v>46</v>
      </c>
      <c r="B39" s="7"/>
      <c r="C39" s="7"/>
      <c r="D39" s="7"/>
      <c r="E39" s="7"/>
      <c r="F39" s="7"/>
      <c r="G39" s="7"/>
      <c r="H39" s="7"/>
      <c r="I39" s="7"/>
      <c r="J39" s="7"/>
      <c r="K39" s="7"/>
      <c r="L39" s="7"/>
      <c r="M39" s="7"/>
      <c r="N39" s="7"/>
    </row>
    <row r="40" customFormat="false" ht="15" hidden="false" customHeight="true" outlineLevel="0" collapsed="false">
      <c r="A40" s="11" t="s">
        <v>47</v>
      </c>
      <c r="B40" s="11"/>
      <c r="C40" s="11"/>
      <c r="D40" s="11"/>
      <c r="E40" s="11"/>
      <c r="F40" s="25" t="n">
        <f aca="false">COUNTIF($N$10:$N$37,"Yes")</f>
        <v>27</v>
      </c>
      <c r="G40" s="25"/>
      <c r="H40" s="25"/>
      <c r="I40" s="25"/>
      <c r="J40" s="25"/>
      <c r="K40" s="25"/>
      <c r="L40" s="25"/>
      <c r="M40" s="25"/>
      <c r="N40" s="25"/>
    </row>
    <row r="41" customFormat="false" ht="15" hidden="false" customHeight="true" outlineLevel="0" collapsed="false">
      <c r="A41" s="11" t="s">
        <v>48</v>
      </c>
      <c r="B41" s="11"/>
      <c r="C41" s="11"/>
      <c r="D41" s="11"/>
      <c r="E41" s="11"/>
      <c r="F41" s="25" t="n">
        <f aca="false">COUNTIF($L$10:$L$37,"OK")+COUNTIF($L$10:$L$37,"WATCH")+COUNTIF($L$10:$L$37,"ACT")</f>
        <v>27</v>
      </c>
      <c r="G41" s="25"/>
      <c r="H41" s="25"/>
      <c r="I41" s="25"/>
      <c r="J41" s="25"/>
      <c r="K41" s="25"/>
      <c r="L41" s="25"/>
      <c r="M41" s="25"/>
      <c r="N41" s="25"/>
    </row>
    <row r="42" customFormat="false" ht="15" hidden="false" customHeight="true" outlineLevel="0" collapsed="false">
      <c r="A42" s="11" t="s">
        <v>49</v>
      </c>
      <c r="B42" s="11"/>
      <c r="C42" s="11"/>
      <c r="D42" s="11"/>
      <c r="E42" s="11"/>
      <c r="F42" s="25" t="n">
        <f aca="false">COUNTIF($L$10:$L$37,"ACT")</f>
        <v>0</v>
      </c>
      <c r="G42" s="25"/>
      <c r="H42" s="25"/>
      <c r="I42" s="25"/>
      <c r="J42" s="25"/>
      <c r="K42" s="25"/>
      <c r="L42" s="25"/>
      <c r="M42" s="25"/>
      <c r="N42" s="25"/>
    </row>
    <row r="43" customFormat="false" ht="15" hidden="false" customHeight="true" outlineLevel="0" collapsed="false">
      <c r="A43" s="11" t="s">
        <v>50</v>
      </c>
      <c r="B43" s="11"/>
      <c r="C43" s="11"/>
      <c r="D43" s="11"/>
      <c r="E43" s="11"/>
      <c r="F43" s="25" t="n">
        <f aca="false">COUNTIF($L$10:$L$37,"WATCH")</f>
        <v>2</v>
      </c>
      <c r="G43" s="25"/>
      <c r="H43" s="25"/>
      <c r="I43" s="25"/>
      <c r="J43" s="25"/>
      <c r="K43" s="25"/>
      <c r="L43" s="25"/>
      <c r="M43" s="25"/>
      <c r="N43" s="25"/>
    </row>
    <row r="44" customFormat="false" ht="15" hidden="false" customHeight="true" outlineLevel="0" collapsed="false">
      <c r="A44" s="11" t="s">
        <v>51</v>
      </c>
      <c r="B44" s="11"/>
      <c r="C44" s="11"/>
      <c r="D44" s="11"/>
      <c r="E44" s="11"/>
      <c r="F44" s="26" t="str">
        <f aca="false">IF($F$42&gt;0,"ACTION: raise a maintenance work order today for every ACT item and inform the Maintenance Head",IF($F$41&lt;$F$40,"INCOMPLETE: "&amp;($F$40-$F$41)&amp;" reading(s) missing",IF($F$43&gt;0,"WATCH: plan maintenance and follow these items on the trend sheet","ALL WITHIN LIMITS")))</f>
        <v>WATCH: plan maintenance and follow these items on the trend sheet</v>
      </c>
      <c r="G44" s="26"/>
      <c r="H44" s="26"/>
      <c r="I44" s="26"/>
      <c r="J44" s="26"/>
      <c r="K44" s="26"/>
      <c r="L44" s="26"/>
      <c r="M44" s="26"/>
      <c r="N44" s="26"/>
    </row>
    <row r="46" customFormat="false" ht="15" hidden="false" customHeight="true" outlineLevel="0" collapsed="false">
      <c r="B46" s="27" t="s">
        <v>52</v>
      </c>
      <c r="C46" s="27" t="s">
        <v>53</v>
      </c>
      <c r="D46" s="27"/>
      <c r="E46" s="27" t="s">
        <v>54</v>
      </c>
      <c r="F46" s="27"/>
      <c r="G46" s="27"/>
      <c r="H46" s="27" t="s">
        <v>55</v>
      </c>
      <c r="I46" s="27"/>
      <c r="J46" s="27"/>
    </row>
    <row r="47" customFormat="false" ht="25.5" hidden="false" customHeight="true" outlineLevel="0" collapsed="false">
      <c r="B47" s="28" t="s">
        <v>56</v>
      </c>
      <c r="C47" s="42" t="s">
        <v>190</v>
      </c>
      <c r="D47" s="42"/>
      <c r="E47" s="12"/>
      <c r="F47" s="12"/>
      <c r="G47" s="12"/>
      <c r="H47" s="12"/>
      <c r="I47" s="12"/>
      <c r="J47" s="12"/>
    </row>
    <row r="48" customFormat="false" ht="25.5" hidden="false" customHeight="true" outlineLevel="0" collapsed="false">
      <c r="B48" s="28" t="s">
        <v>57</v>
      </c>
      <c r="C48" s="42" t="s">
        <v>191</v>
      </c>
      <c r="D48" s="42"/>
      <c r="E48" s="12"/>
      <c r="F48" s="12"/>
      <c r="G48" s="12"/>
      <c r="H48" s="12"/>
      <c r="I48" s="12"/>
      <c r="J48" s="12"/>
    </row>
  </sheetData>
  <mergeCells count="31">
    <mergeCell ref="A1:N1"/>
    <mergeCell ref="A2:J3"/>
    <mergeCell ref="K2:N2"/>
    <mergeCell ref="K3:N3"/>
    <mergeCell ref="C5:D5"/>
    <mergeCell ref="G5:I5"/>
    <mergeCell ref="K5:N5"/>
    <mergeCell ref="C6:D6"/>
    <mergeCell ref="G6:I6"/>
    <mergeCell ref="K6:N6"/>
    <mergeCell ref="A7:N7"/>
    <mergeCell ref="A39:N39"/>
    <mergeCell ref="A40:E40"/>
    <mergeCell ref="F40:N40"/>
    <mergeCell ref="A41:E41"/>
    <mergeCell ref="F41:N41"/>
    <mergeCell ref="A42:E42"/>
    <mergeCell ref="F42:N42"/>
    <mergeCell ref="A43:E43"/>
    <mergeCell ref="F43:N43"/>
    <mergeCell ref="A44:E44"/>
    <mergeCell ref="F44:N44"/>
    <mergeCell ref="C46:D46"/>
    <mergeCell ref="E46:G46"/>
    <mergeCell ref="H46:J46"/>
    <mergeCell ref="C47:D47"/>
    <mergeCell ref="E47:G47"/>
    <mergeCell ref="H47:J47"/>
    <mergeCell ref="C48:D48"/>
    <mergeCell ref="E48:G48"/>
    <mergeCell ref="H48:J48"/>
  </mergeCells>
  <conditionalFormatting sqref="L10:L37">
    <cfRule type="expression" priority="2" aboveAverage="0" equalAverage="0" bottom="0" percent="0" rank="0" text="" dxfId="0">
      <formula>L10="ACT"</formula>
    </cfRule>
    <cfRule type="expression" priority="3" aboveAverage="0" equalAverage="0" bottom="0" percent="0" rank="0" text="" dxfId="1">
      <formula>L10="WATCH"</formula>
    </cfRule>
    <cfRule type="expression" priority="4" aboveAverage="0" equalAverage="0" bottom="0" percent="0" rank="0" text="" dxfId="2">
      <formula>L10="OK"</formula>
    </cfRule>
  </conditionalFormatting>
  <conditionalFormatting sqref="A10:K37">
    <cfRule type="expression" priority="5" aboveAverage="0" equalAverage="0" bottom="0" percent="0" rank="0" text="" dxfId="3">
      <formula>LEFT($N10,2)="No"</formula>
    </cfRule>
  </conditionalFormatting>
  <conditionalFormatting sqref="F44">
    <cfRule type="expression" priority="6" aboveAverage="0" equalAverage="0" bottom="0" percent="0" rank="0" text="" dxfId="0">
      <formula>LEFT($F$44,6)="ACTION"</formula>
    </cfRule>
    <cfRule type="expression" priority="7" aboveAverage="0" equalAverage="0" bottom="0" percent="0" rank="0" text="" dxfId="1">
      <formula>OR(LEFT($F$44,5)="WATCH",LEFT($F$44,10)="INCOMPLETE")</formula>
    </cfRule>
    <cfRule type="expression" priority="8" aboveAverage="0" equalAverage="0" bottom="0" percent="0" rank="0" text="" dxfId="2">
      <formula>$F$44="ALL WITHIN LIMITS"</formula>
    </cfRule>
  </conditionalFormatting>
  <dataValidations count="8">
    <dataValidation allowBlank="true" errorStyle="stop" operator="between" showDropDown="false" showErrorMessage="false" showInputMessage="false" sqref="C5" type="list">
      <formula1>"F-01,F-02,F-03,F-04"</formula1>
      <formula2>0</formula2>
    </dataValidation>
    <dataValidation allowBlank="true" errorStyle="stop" operator="between" showDropDown="false" showErrorMessage="false" showInputMessage="false" sqref="C6" type="list">
      <formula1>"Running (steady state),Running (heating up / changing),Idle (hot standby),Stopped"</formula1>
      <formula2>0</formula2>
    </dataValidation>
    <dataValidation allowBlank="true" errorStyle="stop" operator="between" showDropDown="false" showErrorMessage="false" showInputMessage="false" sqref="K5" type="list">
      <formula1>"A (06:00-14:00),B (14:00-22:00),C (22:00-06:00)"</formula1>
      <formula2>0</formula2>
    </dataValidation>
    <dataValidation allowBlank="true" errorStyle="stop" operator="between" showDropDown="false" showErrorMessage="false" showInputMessage="false" sqref="H22:I22" type="list">
      <formula1>"OK,Not OK"</formula1>
      <formula2>0</formula2>
    </dataValidation>
    <dataValidation allowBlank="true" errorStyle="stop" operator="between" showDropDown="false" showErrorMessage="false" showInputMessage="false" sqref="H26:I26" type="list">
      <formula1>"OK,Not OK"</formula1>
      <formula2>0</formula2>
    </dataValidation>
    <dataValidation allowBlank="true" errorStyle="stop" operator="between" showDropDown="false" showErrorMessage="false" showInputMessage="false" sqref="H28:I28" type="list">
      <formula1>"OK,Not OK"</formula1>
      <formula2>0</formula2>
    </dataValidation>
    <dataValidation allowBlank="true" errorStyle="stop" operator="between" showDropDown="false" showErrorMessage="false" showInputMessage="false" sqref="H35:I35" type="list">
      <formula1>"OK,Not OK"</formula1>
      <formula2>0</formula2>
    </dataValidation>
    <dataValidation allowBlank="true" errorStyle="stop" operator="between" showDropDown="false" showErrorMessage="false" showInputMessage="false" sqref="H37:I37" type="list">
      <formula1>"OK,Not OK"</formula1>
      <formula2>0</formula2>
    </dataValidation>
  </dataValidations>
  <printOptions headings="false" gridLines="false" gridLinesSet="true" horizontalCentered="false" verticalCentered="false"/>
  <pageMargins left="0.3" right="0.3"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&amp;L&amp;8Form F-MT-01 Rev 0 · &amp;A&amp;R&amp;8Page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A5A8"/>
    <pageSetUpPr fitToPage="true"/>
  </sheetPr>
  <dimension ref="A1:L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1" topLeftCell="C12" activePane="bottomRight" state="frozen"/>
      <selection pane="topLeft" activeCell="A1" activeCellId="0" sqref="A1"/>
      <selection pane="topRight" activeCell="C1" activeCellId="0" sqref="C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12" min="3" style="0" width="13"/>
  </cols>
  <sheetData>
    <row r="1" customFormat="false" ht="15" hidden="false" customHeight="true" outlineLevel="0" collapsed="false">
      <c r="A1" s="7" t="s">
        <v>21</v>
      </c>
      <c r="B1" s="7"/>
      <c r="C1" s="7"/>
      <c r="D1" s="7"/>
      <c r="E1" s="7"/>
      <c r="F1" s="7"/>
      <c r="G1" s="7"/>
      <c r="H1" s="7"/>
      <c r="I1" s="7"/>
      <c r="J1" s="7"/>
      <c r="K1" s="7"/>
      <c r="L1" s="7"/>
    </row>
    <row r="2" customFormat="false" ht="15" hidden="false" customHeight="true" outlineLevel="0" collapsed="false">
      <c r="A2" s="8" t="s">
        <v>58</v>
      </c>
      <c r="B2" s="8"/>
      <c r="C2" s="8"/>
      <c r="D2" s="8"/>
      <c r="E2" s="8"/>
      <c r="F2" s="8"/>
      <c r="G2" s="8"/>
      <c r="H2" s="8"/>
      <c r="I2" s="8"/>
      <c r="J2" s="8"/>
      <c r="K2" s="8"/>
      <c r="L2" s="8"/>
    </row>
    <row r="3" customFormat="false" ht="15" hidden="false" customHeight="false" outlineLevel="0" collapsed="false">
      <c r="A3" s="8"/>
      <c r="B3" s="8"/>
      <c r="C3" s="8"/>
      <c r="D3" s="8"/>
      <c r="E3" s="8"/>
      <c r="F3" s="8"/>
      <c r="G3" s="8"/>
      <c r="H3" s="8"/>
      <c r="I3" s="8"/>
      <c r="J3" s="8"/>
      <c r="K3" s="8"/>
      <c r="L3" s="8"/>
    </row>
    <row r="5" customFormat="false" ht="15" hidden="false" customHeight="true" outlineLevel="0" collapsed="false">
      <c r="A5" s="11" t="s">
        <v>25</v>
      </c>
      <c r="B5" s="11"/>
      <c r="C5" s="30" t="s">
        <v>165</v>
      </c>
      <c r="D5" s="30"/>
      <c r="E5" s="11" t="s">
        <v>59</v>
      </c>
      <c r="F5" s="11"/>
      <c r="G5" s="44" t="n">
        <v>46296</v>
      </c>
      <c r="H5" s="44"/>
    </row>
    <row r="6" customFormat="false" ht="25.5" hidden="false" customHeight="true" outlineLevel="0" collapsed="false">
      <c r="A6" s="14" t="s">
        <v>60</v>
      </c>
      <c r="B6" s="14"/>
      <c r="C6" s="14"/>
      <c r="D6" s="14"/>
      <c r="E6" s="14"/>
      <c r="F6" s="14"/>
      <c r="G6" s="14"/>
      <c r="H6" s="14"/>
      <c r="I6" s="14"/>
      <c r="J6" s="14"/>
      <c r="K6" s="14"/>
      <c r="L6" s="14"/>
    </row>
    <row r="8" customFormat="false" ht="15" hidden="false" customHeight="false" outlineLevel="0" collapsed="false">
      <c r="A8" s="10"/>
      <c r="B8" s="27" t="s">
        <v>61</v>
      </c>
      <c r="C8" s="30" t="n">
        <v>14</v>
      </c>
      <c r="D8" s="30" t="n">
        <v>15</v>
      </c>
      <c r="E8" s="30" t="n">
        <v>4</v>
      </c>
      <c r="F8" s="30" t="n">
        <v>24</v>
      </c>
      <c r="G8" s="30" t="n">
        <v>12</v>
      </c>
      <c r="H8" s="30" t="n">
        <v>7</v>
      </c>
      <c r="I8" s="30" t="n">
        <v>9</v>
      </c>
      <c r="J8" s="30" t="n">
        <v>20</v>
      </c>
      <c r="K8" s="30" t="n">
        <v>3</v>
      </c>
      <c r="L8" s="30" t="n">
        <v>25</v>
      </c>
    </row>
    <row r="9" customFormat="false" ht="63.75" hidden="false" customHeight="true" outlineLevel="0" collapsed="false">
      <c r="A9" s="31"/>
      <c r="B9" s="15" t="s">
        <v>34</v>
      </c>
      <c r="C9" s="32" t="str">
        <f aca="false">IFERROR(INDEX(Parameters!$C$5:$C$32,MATCH(C$8,Parameters!$A$5:$A$32,0)),"")</f>
        <v>Pusher hydraulic pressure during the push</v>
      </c>
      <c r="D9" s="32" t="str">
        <f aca="false">IFERROR(INDEX(Parameters!$C$5:$C$32,MATCH(D$8,Parameters!$A$5:$A$32,0)),"")</f>
        <v>Push stroke time (one full push)</v>
      </c>
      <c r="E9" s="32" t="str">
        <f aca="false">IFERROR(INDEX(Parameters!$C$5:$C$32,MATCH(E$8,Parameters!$A$5:$A$32,0)),"")</f>
        <v>Combustion air blower bearing vibration</v>
      </c>
      <c r="F9" s="32" t="str">
        <f aca="false">IFERROR(INDEX(Parameters!$C$5:$C$32,MATCH(F$8,Parameters!$A$5:$A$32,0)),"")</f>
        <v>Quench agitator motor current (agitation is not monitored: current is the indicator)</v>
      </c>
      <c r="G9" s="32" t="str">
        <f aca="false">IFERROR(INDEX(Parameters!$C$5:$C$32,MATCH(G$8,Parameters!$A$5:$A$32,0)),"")</f>
        <v>Furnace shell hottest spot (IR scan of walls, roof, doors)</v>
      </c>
      <c r="H9" s="32" t="str">
        <f aca="false">IFERROR(INDEX(Parameters!$C$5:$C$32,MATCH(H$8,Parameters!$A$5:$A$32,0)),"")</f>
        <v>Highest zone controller output at steady state, hardening chamber</v>
      </c>
      <c r="I9" s="32" t="str">
        <f aca="false">IFERROR(INDEX(Parameters!$C$5:$C$32,MATCH(I$8,Parameters!$A$5:$A$32,0)),"")</f>
        <v>Largest wall difference (left − right) of a zone, hardening chamber</v>
      </c>
      <c r="J9" s="32" t="str">
        <f aca="false">IFERROR(INDEX(Parameters!$C$5:$C$32,MATCH(J$8,Parameters!$A$5:$A$32,0)),"")</f>
        <v>Cooling chamber blower motor current</v>
      </c>
      <c r="K9" s="32" t="str">
        <f aca="false">IFERROR(INDEX(Parameters!$C$5:$C$32,MATCH(K$8,Parameters!$A$5:$A$32,0)),"")</f>
        <v>Combustion air blower motor current</v>
      </c>
      <c r="L9" s="32" t="str">
        <f aca="false">IFERROR(INDEX(Parameters!$C$5:$C$32,MATCH(L$8,Parameters!$A$5:$A$32,0)),"")</f>
        <v>Oil cooler temperature drop (oil in − oil out)</v>
      </c>
    </row>
    <row r="10" customFormat="false" ht="15" hidden="false" customHeight="false" outlineLevel="0" collapsed="false">
      <c r="A10" s="31"/>
      <c r="B10" s="15" t="s">
        <v>36</v>
      </c>
      <c r="C10" s="15" t="str">
        <f aca="false">IF(IFERROR(INDEX(Parameters!$E$5:$E$32,MATCH(C$8,Parameters!$A$5:$A$32,0)),"")=0,"",IFERROR(INDEX(Parameters!$E$5:$E$32,MATCH(C$8,Parameters!$A$5:$A$32,0)),""))</f>
        <v>bar</v>
      </c>
      <c r="D10" s="15" t="str">
        <f aca="false">IF(IFERROR(INDEX(Parameters!$E$5:$E$32,MATCH(D$8,Parameters!$A$5:$A$32,0)),"")=0,"",IFERROR(INDEX(Parameters!$E$5:$E$32,MATCH(D$8,Parameters!$A$5:$A$32,0)),""))</f>
        <v>s</v>
      </c>
      <c r="E10" s="15" t="str">
        <f aca="false">IF(IFERROR(INDEX(Parameters!$E$5:$E$32,MATCH(E$8,Parameters!$A$5:$A$32,0)),"")=0,"",IFERROR(INDEX(Parameters!$E$5:$E$32,MATCH(E$8,Parameters!$A$5:$A$32,0)),""))</f>
        <v>mm/s</v>
      </c>
      <c r="F10" s="15" t="str">
        <f aca="false">IF(IFERROR(INDEX(Parameters!$E$5:$E$32,MATCH(F$8,Parameters!$A$5:$A$32,0)),"")=0,"",IFERROR(INDEX(Parameters!$E$5:$E$32,MATCH(F$8,Parameters!$A$5:$A$32,0)),""))</f>
        <v>% FLA</v>
      </c>
      <c r="G10" s="15" t="str">
        <f aca="false">IF(IFERROR(INDEX(Parameters!$E$5:$E$32,MATCH(G$8,Parameters!$A$5:$A$32,0)),"")=0,"",IFERROR(INDEX(Parameters!$E$5:$E$32,MATCH(G$8,Parameters!$A$5:$A$32,0)),""))</f>
        <v>°C</v>
      </c>
      <c r="H10" s="15" t="str">
        <f aca="false">IF(IFERROR(INDEX(Parameters!$E$5:$E$32,MATCH(H$8,Parameters!$A$5:$A$32,0)),"")=0,"",IFERROR(INDEX(Parameters!$E$5:$E$32,MATCH(H$8,Parameters!$A$5:$A$32,0)),""))</f>
        <v>%</v>
      </c>
      <c r="I10" s="15" t="str">
        <f aca="false">IF(IFERROR(INDEX(Parameters!$E$5:$E$32,MATCH(I$8,Parameters!$A$5:$A$32,0)),"")=0,"",IFERROR(INDEX(Parameters!$E$5:$E$32,MATCH(I$8,Parameters!$A$5:$A$32,0)),""))</f>
        <v>°C</v>
      </c>
      <c r="J10" s="15" t="str">
        <f aca="false">IF(IFERROR(INDEX(Parameters!$E$5:$E$32,MATCH(J$8,Parameters!$A$5:$A$32,0)),"")=0,"",IFERROR(INDEX(Parameters!$E$5:$E$32,MATCH(J$8,Parameters!$A$5:$A$32,0)),""))</f>
        <v>% FLA</v>
      </c>
      <c r="K10" s="15" t="str">
        <f aca="false">IF(IFERROR(INDEX(Parameters!$E$5:$E$32,MATCH(K$8,Parameters!$A$5:$A$32,0)),"")=0,"",IFERROR(INDEX(Parameters!$E$5:$E$32,MATCH(K$8,Parameters!$A$5:$A$32,0)),""))</f>
        <v>% FLA</v>
      </c>
      <c r="L10" s="15" t="str">
        <f aca="false">IF(IFERROR(INDEX(Parameters!$E$5:$E$32,MATCH(L$8,Parameters!$A$5:$A$32,0)),"")=0,"",IFERROR(INDEX(Parameters!$E$5:$E$32,MATCH(L$8,Parameters!$A$5:$A$32,0)),""))</f>
        <v>°C</v>
      </c>
    </row>
    <row r="11" customFormat="false" ht="15" hidden="false" customHeight="false" outlineLevel="0" collapsed="false">
      <c r="A11" s="27" t="s">
        <v>62</v>
      </c>
      <c r="B11" s="27" t="s">
        <v>26</v>
      </c>
      <c r="C11" s="27" t="s">
        <v>63</v>
      </c>
      <c r="D11" s="27" t="s">
        <v>63</v>
      </c>
      <c r="E11" s="27" t="s">
        <v>63</v>
      </c>
      <c r="F11" s="27" t="s">
        <v>63</v>
      </c>
      <c r="G11" s="27" t="s">
        <v>63</v>
      </c>
      <c r="H11" s="27" t="s">
        <v>63</v>
      </c>
      <c r="I11" s="27" t="s">
        <v>63</v>
      </c>
      <c r="J11" s="27" t="s">
        <v>63</v>
      </c>
      <c r="K11" s="27" t="s">
        <v>63</v>
      </c>
      <c r="L11" s="27" t="s">
        <v>63</v>
      </c>
    </row>
    <row r="12" customFormat="false" ht="15" hidden="false" customHeight="false" outlineLevel="0" collapsed="false">
      <c r="A12" s="33" t="n">
        <v>1</v>
      </c>
      <c r="B12" s="34" t="n">
        <f aca="false">IF($G$5="","",IF(1&gt;DAY(EOMONTH($G$5,0)),"",$G$5+0))</f>
        <v>46296</v>
      </c>
      <c r="C12" s="30" t="n">
        <v>79</v>
      </c>
      <c r="D12" s="30" t="n">
        <v>30</v>
      </c>
      <c r="E12" s="30" t="n">
        <v>1.5</v>
      </c>
      <c r="F12" s="30" t="n">
        <v>70</v>
      </c>
      <c r="G12" s="30" t="n">
        <v>80</v>
      </c>
      <c r="H12" s="30" t="n">
        <v>65</v>
      </c>
      <c r="I12" s="30" t="n">
        <v>5</v>
      </c>
      <c r="J12" s="30" t="n">
        <v>71</v>
      </c>
      <c r="K12" s="30" t="n">
        <v>71</v>
      </c>
      <c r="L12" s="30" t="n">
        <v>8.3</v>
      </c>
    </row>
    <row r="13" customFormat="false" ht="15" hidden="false" customHeight="false" outlineLevel="0" collapsed="false">
      <c r="A13" s="33" t="n">
        <v>2</v>
      </c>
      <c r="B13" s="34" t="n">
        <f aca="false">IF($G$5="","",IF(2&gt;DAY(EOMONTH($G$5,0)),"",$G$5+1))</f>
        <v>46297</v>
      </c>
      <c r="C13" s="30" t="n">
        <v>80</v>
      </c>
      <c r="D13" s="30" t="n">
        <v>30</v>
      </c>
      <c r="E13" s="30" t="n">
        <v>1.6</v>
      </c>
      <c r="F13" s="30" t="n">
        <v>70</v>
      </c>
      <c r="G13" s="30" t="n">
        <v>81</v>
      </c>
      <c r="H13" s="30" t="n">
        <v>65</v>
      </c>
      <c r="I13" s="30" t="n">
        <v>5</v>
      </c>
      <c r="J13" s="30" t="n">
        <v>70</v>
      </c>
      <c r="K13" s="30" t="n">
        <v>69</v>
      </c>
      <c r="L13" s="30" t="n">
        <v>7.7</v>
      </c>
    </row>
    <row r="14" customFormat="false" ht="15" hidden="false" customHeight="false" outlineLevel="0" collapsed="false">
      <c r="A14" s="33" t="n">
        <v>3</v>
      </c>
      <c r="B14" s="34" t="n">
        <f aca="false">IF($G$5="","",IF(3&gt;DAY(EOMONTH($G$5,0)),"",$G$5+2))</f>
        <v>46298</v>
      </c>
      <c r="C14" s="30" t="n">
        <v>82</v>
      </c>
      <c r="D14" s="30" t="n">
        <v>30</v>
      </c>
      <c r="E14" s="30" t="n">
        <v>1.7</v>
      </c>
      <c r="F14" s="30" t="n">
        <v>68</v>
      </c>
      <c r="G14" s="30" t="n">
        <v>83</v>
      </c>
      <c r="H14" s="30" t="n">
        <v>67</v>
      </c>
      <c r="I14" s="30" t="n">
        <v>5</v>
      </c>
      <c r="J14" s="30" t="n">
        <v>71</v>
      </c>
      <c r="K14" s="30" t="n">
        <v>72</v>
      </c>
      <c r="L14" s="30" t="n">
        <v>8.2</v>
      </c>
    </row>
    <row r="15" customFormat="false" ht="15" hidden="false" customHeight="false" outlineLevel="0" collapsed="false">
      <c r="A15" s="33" t="n">
        <v>4</v>
      </c>
      <c r="B15" s="34" t="n">
        <f aca="false">IF($G$5="","",IF(4&gt;DAY(EOMONTH($G$5,0)),"",$G$5+3))</f>
        <v>46299</v>
      </c>
      <c r="C15" s="30" t="n">
        <v>83</v>
      </c>
      <c r="D15" s="30" t="n">
        <v>30</v>
      </c>
      <c r="E15" s="30" t="n">
        <v>1.7</v>
      </c>
      <c r="F15" s="30" t="n">
        <v>68</v>
      </c>
      <c r="G15" s="30" t="n">
        <v>82</v>
      </c>
      <c r="H15" s="30" t="n">
        <v>66</v>
      </c>
      <c r="I15" s="30" t="n">
        <v>5</v>
      </c>
      <c r="J15" s="30" t="n">
        <v>71</v>
      </c>
      <c r="K15" s="30" t="n">
        <v>72</v>
      </c>
      <c r="L15" s="30" t="n">
        <v>8.1</v>
      </c>
    </row>
    <row r="16" customFormat="false" ht="15" hidden="false" customHeight="false" outlineLevel="0" collapsed="false">
      <c r="A16" s="33" t="n">
        <v>5</v>
      </c>
      <c r="B16" s="34" t="n">
        <f aca="false">IF($G$5="","",IF(5&gt;DAY(EOMONTH($G$5,0)),"",$G$5+4))</f>
        <v>46300</v>
      </c>
      <c r="C16" s="30" t="n">
        <v>84</v>
      </c>
      <c r="D16" s="30" t="n">
        <v>30</v>
      </c>
      <c r="E16" s="30" t="n">
        <v>1.7</v>
      </c>
      <c r="F16" s="30" t="n">
        <v>68</v>
      </c>
      <c r="G16" s="30" t="n">
        <v>81</v>
      </c>
      <c r="H16" s="30" t="n">
        <v>66</v>
      </c>
      <c r="I16" s="30" t="n">
        <v>5</v>
      </c>
      <c r="J16" s="30" t="n">
        <v>70</v>
      </c>
      <c r="K16" s="30" t="n">
        <v>71</v>
      </c>
      <c r="L16" s="30" t="n">
        <v>8.2</v>
      </c>
    </row>
    <row r="17" customFormat="false" ht="15" hidden="false" customHeight="false" outlineLevel="0" collapsed="false">
      <c r="A17" s="33" t="n">
        <v>6</v>
      </c>
      <c r="B17" s="34" t="n">
        <f aca="false">IF($G$5="","",IF(6&gt;DAY(EOMONTH($G$5,0)),"",$G$5+5))</f>
        <v>46301</v>
      </c>
      <c r="C17" s="30" t="n">
        <v>86</v>
      </c>
      <c r="D17" s="30" t="n">
        <v>30</v>
      </c>
      <c r="E17" s="30" t="n">
        <v>1.8</v>
      </c>
      <c r="F17" s="30" t="n">
        <v>66</v>
      </c>
      <c r="G17" s="30" t="n">
        <v>83</v>
      </c>
      <c r="H17" s="30" t="n">
        <v>65</v>
      </c>
      <c r="I17" s="30" t="n">
        <v>6</v>
      </c>
      <c r="J17" s="30" t="n">
        <v>69</v>
      </c>
      <c r="K17" s="30" t="n">
        <v>70</v>
      </c>
      <c r="L17" s="30" t="n">
        <v>7.9</v>
      </c>
    </row>
    <row r="18" customFormat="false" ht="15" hidden="false" customHeight="false" outlineLevel="0" collapsed="false">
      <c r="A18" s="33" t="n">
        <v>7</v>
      </c>
      <c r="B18" s="34" t="n">
        <f aca="false">IF($G$5="","",IF(7&gt;DAY(EOMONTH($G$5,0)),"",$G$5+6))</f>
        <v>46302</v>
      </c>
      <c r="C18" s="30" t="n">
        <v>89</v>
      </c>
      <c r="D18" s="30" t="n">
        <v>30</v>
      </c>
      <c r="E18" s="30" t="n">
        <v>2</v>
      </c>
      <c r="F18" s="30" t="n">
        <v>65</v>
      </c>
      <c r="G18" s="30" t="n">
        <v>82</v>
      </c>
      <c r="H18" s="30" t="n">
        <v>66</v>
      </c>
      <c r="I18" s="30" t="n">
        <v>6</v>
      </c>
      <c r="J18" s="30" t="n">
        <v>70</v>
      </c>
      <c r="K18" s="30" t="n">
        <v>72</v>
      </c>
      <c r="L18" s="30" t="n">
        <v>8.1</v>
      </c>
    </row>
    <row r="19" customFormat="false" ht="15" hidden="false" customHeight="false" outlineLevel="0" collapsed="false">
      <c r="A19" s="33" t="n">
        <v>8</v>
      </c>
      <c r="B19" s="34" t="n">
        <f aca="false">IF($G$5="","",IF(8&gt;DAY(EOMONTH($G$5,0)),"",$G$5+7))</f>
        <v>46303</v>
      </c>
      <c r="C19" s="30" t="n">
        <v>89</v>
      </c>
      <c r="D19" s="30" t="n">
        <v>30</v>
      </c>
      <c r="E19" s="30" t="n">
        <v>1.9</v>
      </c>
      <c r="F19" s="30" t="n">
        <v>65</v>
      </c>
      <c r="G19" s="30" t="n">
        <v>83</v>
      </c>
      <c r="H19" s="30" t="n">
        <v>66</v>
      </c>
      <c r="I19" s="30" t="n">
        <v>5</v>
      </c>
      <c r="J19" s="30" t="n">
        <v>71</v>
      </c>
      <c r="K19" s="30" t="n">
        <v>71</v>
      </c>
      <c r="L19" s="30" t="n">
        <v>7.6</v>
      </c>
    </row>
    <row r="20" customFormat="false" ht="15" hidden="false" customHeight="false" outlineLevel="0" collapsed="false">
      <c r="A20" s="33" t="n">
        <v>9</v>
      </c>
      <c r="B20" s="34" t="n">
        <f aca="false">IF($G$5="","",IF(9&gt;DAY(EOMONTH($G$5,0)),"",$G$5+8))</f>
        <v>46304</v>
      </c>
      <c r="C20" s="30" t="n">
        <v>91</v>
      </c>
      <c r="D20" s="30" t="n">
        <v>30</v>
      </c>
      <c r="E20" s="30" t="n">
        <v>2</v>
      </c>
      <c r="F20" s="30" t="n">
        <v>65</v>
      </c>
      <c r="G20" s="30" t="n">
        <v>82</v>
      </c>
      <c r="H20" s="30" t="n">
        <v>67</v>
      </c>
      <c r="I20" s="30" t="n">
        <v>5</v>
      </c>
      <c r="J20" s="30" t="n">
        <v>71</v>
      </c>
      <c r="K20" s="30" t="n">
        <v>73</v>
      </c>
      <c r="L20" s="30" t="n">
        <v>7.9</v>
      </c>
    </row>
    <row r="21" customFormat="false" ht="15" hidden="false" customHeight="false" outlineLevel="0" collapsed="false">
      <c r="A21" s="33" t="n">
        <v>10</v>
      </c>
      <c r="B21" s="34" t="n">
        <f aca="false">IF($G$5="","",IF(10&gt;DAY(EOMONTH($G$5,0)),"",$G$5+9))</f>
        <v>46305</v>
      </c>
      <c r="C21" s="30" t="n">
        <v>91</v>
      </c>
      <c r="D21" s="30" t="n">
        <v>30</v>
      </c>
      <c r="E21" s="30" t="n">
        <v>2.2</v>
      </c>
      <c r="F21" s="30" t="n">
        <v>64</v>
      </c>
      <c r="G21" s="30" t="n">
        <v>81</v>
      </c>
      <c r="H21" s="30" t="n">
        <v>66</v>
      </c>
      <c r="I21" s="30" t="n">
        <v>5</v>
      </c>
      <c r="J21" s="30" t="n">
        <v>71</v>
      </c>
      <c r="K21" s="30" t="n">
        <v>72</v>
      </c>
      <c r="L21" s="30" t="n">
        <v>7.6</v>
      </c>
    </row>
    <row r="22" customFormat="false" ht="15" hidden="false" customHeight="false" outlineLevel="0" collapsed="false">
      <c r="A22" s="33" t="n">
        <v>11</v>
      </c>
      <c r="B22" s="34" t="n">
        <f aca="false">IF($G$5="","",IF(11&gt;DAY(EOMONTH($G$5,0)),"",$G$5+10))</f>
        <v>46306</v>
      </c>
      <c r="C22" s="30" t="n">
        <v>93</v>
      </c>
      <c r="D22" s="30" t="n">
        <v>30</v>
      </c>
      <c r="E22" s="30" t="n">
        <v>2.2</v>
      </c>
      <c r="F22" s="30" t="n">
        <v>62</v>
      </c>
      <c r="G22" s="30" t="n">
        <v>82</v>
      </c>
      <c r="H22" s="30" t="n">
        <v>66</v>
      </c>
      <c r="I22" s="30" t="n">
        <v>5</v>
      </c>
      <c r="J22" s="30" t="n">
        <v>70</v>
      </c>
      <c r="K22" s="30" t="n">
        <v>71</v>
      </c>
      <c r="L22" s="30" t="n">
        <v>8</v>
      </c>
    </row>
    <row r="23" customFormat="false" ht="15" hidden="false" customHeight="false" outlineLevel="0" collapsed="false">
      <c r="A23" s="33" t="n">
        <v>12</v>
      </c>
      <c r="B23" s="34" t="n">
        <f aca="false">IF($G$5="","",IF(12&gt;DAY(EOMONTH($G$5,0)),"",$G$5+11))</f>
        <v>46307</v>
      </c>
      <c r="C23" s="30" t="n">
        <v>93</v>
      </c>
      <c r="D23" s="30" t="n">
        <v>30</v>
      </c>
      <c r="E23" s="30" t="n">
        <v>2.3</v>
      </c>
      <c r="F23" s="30" t="n">
        <v>62</v>
      </c>
      <c r="G23" s="30" t="n">
        <v>82</v>
      </c>
      <c r="H23" s="30" t="n">
        <v>67</v>
      </c>
      <c r="I23" s="30" t="n">
        <v>5</v>
      </c>
      <c r="J23" s="30" t="n">
        <v>71</v>
      </c>
      <c r="K23" s="30" t="n">
        <v>71</v>
      </c>
      <c r="L23" s="30" t="n">
        <v>7.9</v>
      </c>
    </row>
    <row r="24" customFormat="false" ht="15" hidden="false" customHeight="false" outlineLevel="0" collapsed="false">
      <c r="A24" s="33" t="n">
        <v>13</v>
      </c>
      <c r="B24" s="34" t="n">
        <f aca="false">IF($G$5="","",IF(13&gt;DAY(EOMONTH($G$5,0)),"",$G$5+12))</f>
        <v>46308</v>
      </c>
      <c r="C24" s="30" t="n">
        <v>94</v>
      </c>
      <c r="D24" s="30" t="n">
        <v>31</v>
      </c>
      <c r="E24" s="30" t="n">
        <v>2.4</v>
      </c>
      <c r="F24" s="30" t="n">
        <v>61</v>
      </c>
      <c r="G24" s="30" t="n">
        <v>82</v>
      </c>
      <c r="H24" s="30" t="n">
        <v>67</v>
      </c>
      <c r="I24" s="30" t="n">
        <v>5</v>
      </c>
      <c r="J24" s="30" t="n">
        <v>71</v>
      </c>
      <c r="K24" s="30" t="n">
        <v>73</v>
      </c>
      <c r="L24" s="30" t="n">
        <v>7.6</v>
      </c>
    </row>
    <row r="25" customFormat="false" ht="15" hidden="false" customHeight="false" outlineLevel="0" collapsed="false">
      <c r="A25" s="33" t="n">
        <v>14</v>
      </c>
      <c r="B25" s="34" t="n">
        <f aca="false">IF($G$5="","",IF(14&gt;DAY(EOMONTH($G$5,0)),"",$G$5+13))</f>
        <v>46309</v>
      </c>
      <c r="C25" s="30" t="n">
        <v>95</v>
      </c>
      <c r="D25" s="30" t="n">
        <v>31</v>
      </c>
      <c r="E25" s="30" t="n">
        <v>2.4</v>
      </c>
      <c r="F25" s="30" t="n">
        <v>61</v>
      </c>
      <c r="G25" s="30" t="n">
        <v>84</v>
      </c>
      <c r="H25" s="30" t="n">
        <v>68</v>
      </c>
      <c r="I25" s="30" t="n">
        <v>6</v>
      </c>
      <c r="J25" s="30" t="n">
        <v>71</v>
      </c>
      <c r="K25" s="30" t="n">
        <v>73</v>
      </c>
      <c r="L25" s="30" t="n">
        <v>7.6</v>
      </c>
    </row>
    <row r="26" customFormat="false" ht="15" hidden="false" customHeight="false" outlineLevel="0" collapsed="false">
      <c r="A26" s="33" t="n">
        <v>15</v>
      </c>
      <c r="B26" s="34" t="n">
        <f aca="false">IF($G$5="","",IF(15&gt;DAY(EOMONTH($G$5,0)),"",$G$5+14))</f>
        <v>46310</v>
      </c>
      <c r="C26" s="30" t="n">
        <v>97</v>
      </c>
      <c r="D26" s="30" t="n">
        <v>30</v>
      </c>
      <c r="E26" s="30" t="n">
        <v>2.6</v>
      </c>
      <c r="F26" s="30" t="n">
        <v>59</v>
      </c>
      <c r="G26" s="30" t="n">
        <v>83</v>
      </c>
      <c r="H26" s="30" t="n">
        <v>66</v>
      </c>
      <c r="I26" s="30" t="n">
        <v>5</v>
      </c>
      <c r="J26" s="30" t="n">
        <v>71</v>
      </c>
      <c r="K26" s="30" t="n">
        <v>73</v>
      </c>
      <c r="L26" s="30" t="n">
        <v>7.2</v>
      </c>
    </row>
    <row r="27" customFormat="false" ht="15" hidden="false" customHeight="false" outlineLevel="0" collapsed="false">
      <c r="A27" s="33" t="n">
        <v>16</v>
      </c>
      <c r="B27" s="34" t="n">
        <f aca="false">IF($G$5="","",IF(16&gt;DAY(EOMONTH($G$5,0)),"",$G$5+15))</f>
        <v>46311</v>
      </c>
      <c r="C27" s="30" t="n">
        <v>100</v>
      </c>
      <c r="D27" s="30" t="n">
        <v>30</v>
      </c>
      <c r="E27" s="30" t="n">
        <v>2.5</v>
      </c>
      <c r="F27" s="30" t="n">
        <v>60</v>
      </c>
      <c r="G27" s="30" t="n">
        <v>82</v>
      </c>
      <c r="H27" s="30" t="n">
        <v>68</v>
      </c>
      <c r="I27" s="30" t="n">
        <v>5</v>
      </c>
      <c r="J27" s="30" t="n">
        <v>71</v>
      </c>
      <c r="K27" s="30" t="n">
        <v>74</v>
      </c>
      <c r="L27" s="30" t="n">
        <v>7.2</v>
      </c>
    </row>
    <row r="28" customFormat="false" ht="15" hidden="false" customHeight="false" outlineLevel="0" collapsed="false">
      <c r="A28" s="33" t="n">
        <v>17</v>
      </c>
      <c r="B28" s="34" t="n">
        <f aca="false">IF($G$5="","",IF(17&gt;DAY(EOMONTH($G$5,0)),"",$G$5+16))</f>
        <v>46312</v>
      </c>
      <c r="C28" s="30" t="n">
        <v>101</v>
      </c>
      <c r="D28" s="30" t="n">
        <v>31</v>
      </c>
      <c r="E28" s="30" t="n">
        <v>2.7</v>
      </c>
      <c r="F28" s="30" t="n">
        <v>60</v>
      </c>
      <c r="G28" s="30" t="n">
        <v>82</v>
      </c>
      <c r="H28" s="30" t="n">
        <v>68</v>
      </c>
      <c r="I28" s="30" t="n">
        <v>6</v>
      </c>
      <c r="J28" s="30" t="n">
        <v>71</v>
      </c>
      <c r="K28" s="30" t="n">
        <v>73</v>
      </c>
      <c r="L28" s="30" t="n">
        <v>7.6</v>
      </c>
    </row>
    <row r="29" customFormat="false" ht="15" hidden="false" customHeight="false" outlineLevel="0" collapsed="false">
      <c r="A29" s="33" t="n">
        <v>18</v>
      </c>
      <c r="B29" s="34" t="n">
        <f aca="false">IF($G$5="","",IF(18&gt;DAY(EOMONTH($G$5,0)),"",$G$5+17))</f>
        <v>46313</v>
      </c>
      <c r="C29" s="30" t="n">
        <v>102</v>
      </c>
      <c r="D29" s="30" t="n">
        <v>30</v>
      </c>
      <c r="E29" s="30" t="n">
        <v>2.7</v>
      </c>
      <c r="F29" s="30" t="n">
        <v>59</v>
      </c>
      <c r="G29" s="30" t="n">
        <v>83</v>
      </c>
      <c r="H29" s="30" t="n">
        <v>67</v>
      </c>
      <c r="I29" s="30" t="n">
        <v>6</v>
      </c>
      <c r="J29" s="30" t="n">
        <v>71</v>
      </c>
      <c r="K29" s="30" t="n">
        <v>72</v>
      </c>
      <c r="L29" s="30" t="n">
        <v>7.5</v>
      </c>
    </row>
    <row r="30" customFormat="false" ht="15" hidden="false" customHeight="false" outlineLevel="0" collapsed="false">
      <c r="A30" s="33" t="n">
        <v>19</v>
      </c>
      <c r="B30" s="34" t="n">
        <f aca="false">IF($G$5="","",IF(19&gt;DAY(EOMONTH($G$5,0)),"",$G$5+18))</f>
        <v>46314</v>
      </c>
      <c r="C30" s="30" t="n">
        <v>103</v>
      </c>
      <c r="D30" s="30" t="n">
        <v>31</v>
      </c>
      <c r="E30" s="30" t="n">
        <v>2.9</v>
      </c>
      <c r="F30" s="30" t="n">
        <v>58</v>
      </c>
      <c r="G30" s="30" t="n">
        <v>85</v>
      </c>
      <c r="H30" s="30" t="n">
        <v>69</v>
      </c>
      <c r="I30" s="30" t="n">
        <v>6</v>
      </c>
      <c r="J30" s="30" t="n">
        <v>70</v>
      </c>
      <c r="K30" s="30" t="n">
        <v>75</v>
      </c>
      <c r="L30" s="30" t="n">
        <v>7.8</v>
      </c>
    </row>
    <row r="31" customFormat="false" ht="15" hidden="false" customHeight="false" outlineLevel="0" collapsed="false">
      <c r="A31" s="33" t="n">
        <v>20</v>
      </c>
      <c r="B31" s="34" t="n">
        <f aca="false">IF($G$5="","",IF(20&gt;DAY(EOMONTH($G$5,0)),"",$G$5+19))</f>
        <v>46315</v>
      </c>
      <c r="C31" s="30" t="n">
        <v>103</v>
      </c>
      <c r="D31" s="30" t="n">
        <v>31</v>
      </c>
      <c r="E31" s="30" t="n">
        <v>2.9</v>
      </c>
      <c r="F31" s="30" t="n">
        <v>58</v>
      </c>
      <c r="G31" s="30" t="n">
        <v>83</v>
      </c>
      <c r="H31" s="30" t="n">
        <v>68</v>
      </c>
      <c r="I31" s="30" t="n">
        <v>6</v>
      </c>
      <c r="J31" s="30" t="n">
        <v>71</v>
      </c>
      <c r="K31" s="30" t="n">
        <v>73</v>
      </c>
      <c r="L31" s="30" t="n">
        <v>7.5</v>
      </c>
    </row>
    <row r="32" customFormat="false" ht="15" hidden="false" customHeight="false" outlineLevel="0" collapsed="false">
      <c r="A32" s="33" t="n">
        <v>21</v>
      </c>
      <c r="B32" s="34" t="n">
        <f aca="false">IF($G$5="","",IF(21&gt;DAY(EOMONTH($G$5,0)),"",$G$5+20))</f>
        <v>46316</v>
      </c>
      <c r="C32" s="21"/>
      <c r="D32" s="21"/>
      <c r="E32" s="21"/>
      <c r="F32" s="21"/>
      <c r="G32" s="21"/>
      <c r="H32" s="21"/>
      <c r="I32" s="21"/>
      <c r="J32" s="21"/>
      <c r="K32" s="21"/>
      <c r="L32" s="21"/>
    </row>
    <row r="33" customFormat="false" ht="15" hidden="false" customHeight="false" outlineLevel="0" collapsed="false">
      <c r="A33" s="33" t="n">
        <v>22</v>
      </c>
      <c r="B33" s="34" t="n">
        <f aca="false">IF($G$5="","",IF(22&gt;DAY(EOMONTH($G$5,0)),"",$G$5+21))</f>
        <v>46317</v>
      </c>
      <c r="C33" s="21"/>
      <c r="D33" s="21"/>
      <c r="E33" s="21"/>
      <c r="F33" s="21"/>
      <c r="G33" s="21"/>
      <c r="H33" s="21"/>
      <c r="I33" s="21"/>
      <c r="J33" s="21"/>
      <c r="K33" s="21"/>
      <c r="L33" s="21"/>
    </row>
    <row r="34" customFormat="false" ht="15" hidden="false" customHeight="false" outlineLevel="0" collapsed="false">
      <c r="A34" s="33" t="n">
        <v>23</v>
      </c>
      <c r="B34" s="34" t="n">
        <f aca="false">IF($G$5="","",IF(23&gt;DAY(EOMONTH($G$5,0)),"",$G$5+22))</f>
        <v>46318</v>
      </c>
      <c r="C34" s="21"/>
      <c r="D34" s="21"/>
      <c r="E34" s="21"/>
      <c r="F34" s="21"/>
      <c r="G34" s="21"/>
      <c r="H34" s="21"/>
      <c r="I34" s="21"/>
      <c r="J34" s="21"/>
      <c r="K34" s="21"/>
      <c r="L34" s="21"/>
    </row>
    <row r="35" customFormat="false" ht="15" hidden="false" customHeight="false" outlineLevel="0" collapsed="false">
      <c r="A35" s="33" t="n">
        <v>24</v>
      </c>
      <c r="B35" s="34" t="n">
        <f aca="false">IF($G$5="","",IF(24&gt;DAY(EOMONTH($G$5,0)),"",$G$5+23))</f>
        <v>46319</v>
      </c>
      <c r="C35" s="21"/>
      <c r="D35" s="21"/>
      <c r="E35" s="21"/>
      <c r="F35" s="21"/>
      <c r="G35" s="21"/>
      <c r="H35" s="21"/>
      <c r="I35" s="21"/>
      <c r="J35" s="21"/>
      <c r="K35" s="21"/>
      <c r="L35" s="21"/>
    </row>
    <row r="36" customFormat="false" ht="15" hidden="false" customHeight="false" outlineLevel="0" collapsed="false">
      <c r="A36" s="33" t="n">
        <v>25</v>
      </c>
      <c r="B36" s="34" t="n">
        <f aca="false">IF($G$5="","",IF(25&gt;DAY(EOMONTH($G$5,0)),"",$G$5+24))</f>
        <v>46320</v>
      </c>
      <c r="C36" s="21"/>
      <c r="D36" s="21"/>
      <c r="E36" s="21"/>
      <c r="F36" s="21"/>
      <c r="G36" s="21"/>
      <c r="H36" s="21"/>
      <c r="I36" s="21"/>
      <c r="J36" s="21"/>
      <c r="K36" s="21"/>
      <c r="L36" s="21"/>
    </row>
    <row r="37" customFormat="false" ht="15" hidden="false" customHeight="false" outlineLevel="0" collapsed="false">
      <c r="A37" s="33" t="n">
        <v>26</v>
      </c>
      <c r="B37" s="34" t="n">
        <f aca="false">IF($G$5="","",IF(26&gt;DAY(EOMONTH($G$5,0)),"",$G$5+25))</f>
        <v>46321</v>
      </c>
      <c r="C37" s="21"/>
      <c r="D37" s="21"/>
      <c r="E37" s="21"/>
      <c r="F37" s="21"/>
      <c r="G37" s="21"/>
      <c r="H37" s="21"/>
      <c r="I37" s="21"/>
      <c r="J37" s="21"/>
      <c r="K37" s="21"/>
      <c r="L37" s="21"/>
    </row>
    <row r="38" customFormat="false" ht="15" hidden="false" customHeight="false" outlineLevel="0" collapsed="false">
      <c r="A38" s="33" t="n">
        <v>27</v>
      </c>
      <c r="B38" s="34" t="n">
        <f aca="false">IF($G$5="","",IF(27&gt;DAY(EOMONTH($G$5,0)),"",$G$5+26))</f>
        <v>46322</v>
      </c>
      <c r="C38" s="21"/>
      <c r="D38" s="21"/>
      <c r="E38" s="21"/>
      <c r="F38" s="21"/>
      <c r="G38" s="21"/>
      <c r="H38" s="21"/>
      <c r="I38" s="21"/>
      <c r="J38" s="21"/>
      <c r="K38" s="21"/>
      <c r="L38" s="21"/>
    </row>
    <row r="39" customFormat="false" ht="15" hidden="false" customHeight="false" outlineLevel="0" collapsed="false">
      <c r="A39" s="33" t="n">
        <v>28</v>
      </c>
      <c r="B39" s="34" t="n">
        <f aca="false">IF($G$5="","",IF(28&gt;DAY(EOMONTH($G$5,0)),"",$G$5+27))</f>
        <v>46323</v>
      </c>
      <c r="C39" s="21"/>
      <c r="D39" s="21"/>
      <c r="E39" s="21"/>
      <c r="F39" s="21"/>
      <c r="G39" s="21"/>
      <c r="H39" s="21"/>
      <c r="I39" s="21"/>
      <c r="J39" s="21"/>
      <c r="K39" s="21"/>
      <c r="L39" s="21"/>
    </row>
    <row r="40" customFormat="false" ht="15" hidden="false" customHeight="false" outlineLevel="0" collapsed="false">
      <c r="A40" s="33" t="n">
        <v>29</v>
      </c>
      <c r="B40" s="34" t="n">
        <f aca="false">IF($G$5="","",IF(29&gt;DAY(EOMONTH($G$5,0)),"",$G$5+28))</f>
        <v>46324</v>
      </c>
      <c r="C40" s="21"/>
      <c r="D40" s="21"/>
      <c r="E40" s="21"/>
      <c r="F40" s="21"/>
      <c r="G40" s="21"/>
      <c r="H40" s="21"/>
      <c r="I40" s="21"/>
      <c r="J40" s="21"/>
      <c r="K40" s="21"/>
      <c r="L40" s="21"/>
    </row>
    <row r="41" customFormat="false" ht="15" hidden="false" customHeight="false" outlineLevel="0" collapsed="false">
      <c r="A41" s="33" t="n">
        <v>30</v>
      </c>
      <c r="B41" s="34" t="n">
        <f aca="false">IF($G$5="","",IF(30&gt;DAY(EOMONTH($G$5,0)),"",$G$5+29))</f>
        <v>46325</v>
      </c>
      <c r="C41" s="21"/>
      <c r="D41" s="21"/>
      <c r="E41" s="21"/>
      <c r="F41" s="21"/>
      <c r="G41" s="21"/>
      <c r="H41" s="21"/>
      <c r="I41" s="21"/>
      <c r="J41" s="21"/>
      <c r="K41" s="21"/>
      <c r="L41" s="21"/>
    </row>
    <row r="42" customFormat="false" ht="15" hidden="false" customHeight="false" outlineLevel="0" collapsed="false">
      <c r="A42" s="33" t="n">
        <v>31</v>
      </c>
      <c r="B42" s="34" t="n">
        <f aca="false">IF($G$5="","",IF(31&gt;DAY(EOMONTH($G$5,0)),"",$G$5+30))</f>
        <v>46326</v>
      </c>
      <c r="C42" s="21"/>
      <c r="D42" s="21"/>
      <c r="E42" s="21"/>
      <c r="F42" s="21"/>
      <c r="G42" s="21"/>
      <c r="H42" s="21"/>
      <c r="I42" s="21"/>
      <c r="J42" s="21"/>
      <c r="K42" s="21"/>
      <c r="L42" s="21"/>
    </row>
    <row r="43" customFormat="false" ht="15" hidden="false" customHeight="true" outlineLevel="0" collapsed="false">
      <c r="A43" s="11" t="s">
        <v>38</v>
      </c>
      <c r="B43" s="11"/>
      <c r="C43" s="35" t="n">
        <f aca="false">IF(IFERROR(INDEX(Parameters!$H$5:$H$32,MATCH(C$8,Parameters!$A$5:$A$32,0)),"")="","",IFERROR(INDEX(Parameters!$H$5:$H$32,MATCH(C$8,Parameters!$A$5:$A$32,0)),""))</f>
        <v>80</v>
      </c>
      <c r="D43" s="35" t="n">
        <f aca="false">IF(IFERROR(INDEX(Parameters!$H$5:$H$32,MATCH(D$8,Parameters!$A$5:$A$32,0)),"")="","",IFERROR(INDEX(Parameters!$H$5:$H$32,MATCH(D$8,Parameters!$A$5:$A$32,0)),""))</f>
        <v>30</v>
      </c>
      <c r="E43" s="35" t="n">
        <f aca="false">IF(IFERROR(INDEX(Parameters!$H$5:$H$32,MATCH(E$8,Parameters!$A$5:$A$32,0)),"")="","",IFERROR(INDEX(Parameters!$H$5:$H$32,MATCH(E$8,Parameters!$A$5:$A$32,0)),""))</f>
        <v>1.5</v>
      </c>
      <c r="F43" s="35" t="n">
        <f aca="false">IF(IFERROR(INDEX(Parameters!$H$5:$H$32,MATCH(F$8,Parameters!$A$5:$A$32,0)),"")="","",IFERROR(INDEX(Parameters!$H$5:$H$32,MATCH(F$8,Parameters!$A$5:$A$32,0)),""))</f>
        <v>70</v>
      </c>
      <c r="G43" s="35" t="n">
        <f aca="false">IF(IFERROR(INDEX(Parameters!$H$5:$H$32,MATCH(G$8,Parameters!$A$5:$A$32,0)),"")="","",IFERROR(INDEX(Parameters!$H$5:$H$32,MATCH(G$8,Parameters!$A$5:$A$32,0)),""))</f>
        <v>70</v>
      </c>
      <c r="H43" s="35" t="n">
        <f aca="false">IF(IFERROR(INDEX(Parameters!$H$5:$H$32,MATCH(H$8,Parameters!$A$5:$A$32,0)),"")="","",IFERROR(INDEX(Parameters!$H$5:$H$32,MATCH(H$8,Parameters!$A$5:$A$32,0)),""))</f>
        <v>55</v>
      </c>
      <c r="I43" s="35" t="n">
        <f aca="false">IF(IFERROR(INDEX(Parameters!$H$5:$H$32,MATCH(I$8,Parameters!$A$5:$A$32,0)),"")="","",IFERROR(INDEX(Parameters!$H$5:$H$32,MATCH(I$8,Parameters!$A$5:$A$32,0)),""))</f>
        <v>0</v>
      </c>
      <c r="J43" s="35" t="n">
        <f aca="false">IF(IFERROR(INDEX(Parameters!$H$5:$H$32,MATCH(J$8,Parameters!$A$5:$A$32,0)),"")="","",IFERROR(INDEX(Parameters!$H$5:$H$32,MATCH(J$8,Parameters!$A$5:$A$32,0)),""))</f>
        <v>70</v>
      </c>
      <c r="K43" s="35" t="n">
        <f aca="false">IF(IFERROR(INDEX(Parameters!$H$5:$H$32,MATCH(K$8,Parameters!$A$5:$A$32,0)),"")="","",IFERROR(INDEX(Parameters!$H$5:$H$32,MATCH(K$8,Parameters!$A$5:$A$32,0)),""))</f>
        <v>70</v>
      </c>
      <c r="L43" s="35" t="n">
        <f aca="false">IF(IFERROR(INDEX(Parameters!$H$5:$H$32,MATCH(L$8,Parameters!$A$5:$A$32,0)),"")="","",IFERROR(INDEX(Parameters!$H$5:$H$32,MATCH(L$8,Parameters!$A$5:$A$32,0)),""))</f>
        <v>8</v>
      </c>
    </row>
    <row r="44" customFormat="false" ht="15" hidden="false" customHeight="true" outlineLevel="0" collapsed="false">
      <c r="A44" s="11" t="s">
        <v>64</v>
      </c>
      <c r="B44" s="11"/>
      <c r="C44" s="35" t="str">
        <f aca="false">IF(IFERROR(INDEX(Parameters!$I$5:$I$32,MATCH(C$8,Parameters!$A$5:$A$32,0)),"")="","",IFERROR(INDEX(Parameters!$I$5:$I$32,MATCH(C$8,Parameters!$A$5:$A$32,0)),""))</f>
        <v/>
      </c>
      <c r="D44" s="35" t="str">
        <f aca="false">IF(IFERROR(INDEX(Parameters!$I$5:$I$32,MATCH(D$8,Parameters!$A$5:$A$32,0)),"")="","",IFERROR(INDEX(Parameters!$I$5:$I$32,MATCH(D$8,Parameters!$A$5:$A$32,0)),""))</f>
        <v/>
      </c>
      <c r="E44" s="35" t="str">
        <f aca="false">IF(IFERROR(INDEX(Parameters!$I$5:$I$32,MATCH(E$8,Parameters!$A$5:$A$32,0)),"")="","",IFERROR(INDEX(Parameters!$I$5:$I$32,MATCH(E$8,Parameters!$A$5:$A$32,0)),""))</f>
        <v/>
      </c>
      <c r="F44" s="35" t="n">
        <f aca="false">IF(IFERROR(INDEX(Parameters!$I$5:$I$32,MATCH(F$8,Parameters!$A$5:$A$32,0)),"")="","",IFERROR(INDEX(Parameters!$I$5:$I$32,MATCH(F$8,Parameters!$A$5:$A$32,0)),""))</f>
        <v>45</v>
      </c>
      <c r="G44" s="35" t="str">
        <f aca="false">IF(IFERROR(INDEX(Parameters!$I$5:$I$32,MATCH(G$8,Parameters!$A$5:$A$32,0)),"")="","",IFERROR(INDEX(Parameters!$I$5:$I$32,MATCH(G$8,Parameters!$A$5:$A$32,0)),""))</f>
        <v/>
      </c>
      <c r="H44" s="35" t="str">
        <f aca="false">IF(IFERROR(INDEX(Parameters!$I$5:$I$32,MATCH(H$8,Parameters!$A$5:$A$32,0)),"")="","",IFERROR(INDEX(Parameters!$I$5:$I$32,MATCH(H$8,Parameters!$A$5:$A$32,0)),""))</f>
        <v/>
      </c>
      <c r="I44" s="35" t="n">
        <f aca="false">IF(IFERROR(INDEX(Parameters!$I$5:$I$32,MATCH(I$8,Parameters!$A$5:$A$32,0)),"")="","",IFERROR(INDEX(Parameters!$I$5:$I$32,MATCH(I$8,Parameters!$A$5:$A$32,0)),""))</f>
        <v>-8</v>
      </c>
      <c r="J44" s="35" t="n">
        <f aca="false">IF(IFERROR(INDEX(Parameters!$I$5:$I$32,MATCH(J$8,Parameters!$A$5:$A$32,0)),"")="","",IFERROR(INDEX(Parameters!$I$5:$I$32,MATCH(J$8,Parameters!$A$5:$A$32,0)),""))</f>
        <v>45</v>
      </c>
      <c r="K44" s="35" t="n">
        <f aca="false">IF(IFERROR(INDEX(Parameters!$I$5:$I$32,MATCH(K$8,Parameters!$A$5:$A$32,0)),"")="","",IFERROR(INDEX(Parameters!$I$5:$I$32,MATCH(K$8,Parameters!$A$5:$A$32,0)),""))</f>
        <v>40</v>
      </c>
      <c r="L44" s="35" t="n">
        <f aca="false">IF(IFERROR(INDEX(Parameters!$I$5:$I$32,MATCH(L$8,Parameters!$A$5:$A$32,0)),"")="","",IFERROR(INDEX(Parameters!$I$5:$I$32,MATCH(L$8,Parameters!$A$5:$A$32,0)),""))</f>
        <v>3</v>
      </c>
    </row>
    <row r="45" customFormat="false" ht="15" hidden="false" customHeight="true" outlineLevel="0" collapsed="false">
      <c r="A45" s="11" t="s">
        <v>65</v>
      </c>
      <c r="B45" s="11"/>
      <c r="C45" s="35" t="str">
        <f aca="false">IF(IFERROR(INDEX(Parameters!$J$5:$J$32,MATCH(C$8,Parameters!$A$5:$A$32,0)),"")="","",IFERROR(INDEX(Parameters!$J$5:$J$32,MATCH(C$8,Parameters!$A$5:$A$32,0)),""))</f>
        <v/>
      </c>
      <c r="D45" s="35" t="str">
        <f aca="false">IF(IFERROR(INDEX(Parameters!$J$5:$J$32,MATCH(D$8,Parameters!$A$5:$A$32,0)),"")="","",IFERROR(INDEX(Parameters!$J$5:$J$32,MATCH(D$8,Parameters!$A$5:$A$32,0)),""))</f>
        <v/>
      </c>
      <c r="E45" s="35" t="str">
        <f aca="false">IF(IFERROR(INDEX(Parameters!$J$5:$J$32,MATCH(E$8,Parameters!$A$5:$A$32,0)),"")="","",IFERROR(INDEX(Parameters!$J$5:$J$32,MATCH(E$8,Parameters!$A$5:$A$32,0)),""))</f>
        <v/>
      </c>
      <c r="F45" s="35" t="n">
        <f aca="false">IF(IFERROR(INDEX(Parameters!$J$5:$J$32,MATCH(F$8,Parameters!$A$5:$A$32,0)),"")="","",IFERROR(INDEX(Parameters!$J$5:$J$32,MATCH(F$8,Parameters!$A$5:$A$32,0)),""))</f>
        <v>55</v>
      </c>
      <c r="G45" s="35" t="str">
        <f aca="false">IF(IFERROR(INDEX(Parameters!$J$5:$J$32,MATCH(G$8,Parameters!$A$5:$A$32,0)),"")="","",IFERROR(INDEX(Parameters!$J$5:$J$32,MATCH(G$8,Parameters!$A$5:$A$32,0)),""))</f>
        <v/>
      </c>
      <c r="H45" s="35" t="str">
        <f aca="false">IF(IFERROR(INDEX(Parameters!$J$5:$J$32,MATCH(H$8,Parameters!$A$5:$A$32,0)),"")="","",IFERROR(INDEX(Parameters!$J$5:$J$32,MATCH(H$8,Parameters!$A$5:$A$32,0)),""))</f>
        <v/>
      </c>
      <c r="I45" s="35" t="n">
        <f aca="false">IF(IFERROR(INDEX(Parameters!$J$5:$J$32,MATCH(I$8,Parameters!$A$5:$A$32,0)),"")="","",IFERROR(INDEX(Parameters!$J$5:$J$32,MATCH(I$8,Parameters!$A$5:$A$32,0)),""))</f>
        <v>-5</v>
      </c>
      <c r="J45" s="35" t="n">
        <f aca="false">IF(IFERROR(INDEX(Parameters!$J$5:$J$32,MATCH(J$8,Parameters!$A$5:$A$32,0)),"")="","",IFERROR(INDEX(Parameters!$J$5:$J$32,MATCH(J$8,Parameters!$A$5:$A$32,0)),""))</f>
        <v>55</v>
      </c>
      <c r="K45" s="35" t="n">
        <f aca="false">IF(IFERROR(INDEX(Parameters!$J$5:$J$32,MATCH(K$8,Parameters!$A$5:$A$32,0)),"")="","",IFERROR(INDEX(Parameters!$J$5:$J$32,MATCH(K$8,Parameters!$A$5:$A$32,0)),""))</f>
        <v>55</v>
      </c>
      <c r="L45" s="35" t="n">
        <f aca="false">IF(IFERROR(INDEX(Parameters!$J$5:$J$32,MATCH(L$8,Parameters!$A$5:$A$32,0)),"")="","",IFERROR(INDEX(Parameters!$J$5:$J$32,MATCH(L$8,Parameters!$A$5:$A$32,0)),""))</f>
        <v>5</v>
      </c>
    </row>
    <row r="46" customFormat="false" ht="15" hidden="false" customHeight="true" outlineLevel="0" collapsed="false">
      <c r="A46" s="11" t="s">
        <v>66</v>
      </c>
      <c r="B46" s="11"/>
      <c r="C46" s="35" t="n">
        <f aca="false">IF(IFERROR(INDEX(Parameters!$K$5:$K$32,MATCH(C$8,Parameters!$A$5:$A$32,0)),"")="","",IFERROR(INDEX(Parameters!$K$5:$K$32,MATCH(C$8,Parameters!$A$5:$A$32,0)),""))</f>
        <v>110</v>
      </c>
      <c r="D46" s="35" t="n">
        <f aca="false">IF(IFERROR(INDEX(Parameters!$K$5:$K$32,MATCH(D$8,Parameters!$A$5:$A$32,0)),"")="","",IFERROR(INDEX(Parameters!$K$5:$K$32,MATCH(D$8,Parameters!$A$5:$A$32,0)),""))</f>
        <v>36</v>
      </c>
      <c r="E46" s="35" t="n">
        <f aca="false">IF(IFERROR(INDEX(Parameters!$K$5:$K$32,MATCH(E$8,Parameters!$A$5:$A$32,0)),"")="","",IFERROR(INDEX(Parameters!$K$5:$K$32,MATCH(E$8,Parameters!$A$5:$A$32,0)),""))</f>
        <v>2.8</v>
      </c>
      <c r="F46" s="35" t="n">
        <f aca="false">IF(IFERROR(INDEX(Parameters!$K$5:$K$32,MATCH(F$8,Parameters!$A$5:$A$32,0)),"")="","",IFERROR(INDEX(Parameters!$K$5:$K$32,MATCH(F$8,Parameters!$A$5:$A$32,0)),""))</f>
        <v>90</v>
      </c>
      <c r="G46" s="35" t="n">
        <f aca="false">IF(IFERROR(INDEX(Parameters!$K$5:$K$32,MATCH(G$8,Parameters!$A$5:$A$32,0)),"")="","",IFERROR(INDEX(Parameters!$K$5:$K$32,MATCH(G$8,Parameters!$A$5:$A$32,0)),""))</f>
        <v>100</v>
      </c>
      <c r="H46" s="35" t="n">
        <f aca="false">IF(IFERROR(INDEX(Parameters!$K$5:$K$32,MATCH(H$8,Parameters!$A$5:$A$32,0)),"")="","",IFERROR(INDEX(Parameters!$K$5:$K$32,MATCH(H$8,Parameters!$A$5:$A$32,0)),""))</f>
        <v>75</v>
      </c>
      <c r="I46" s="35" t="n">
        <f aca="false">IF(IFERROR(INDEX(Parameters!$K$5:$K$32,MATCH(I$8,Parameters!$A$5:$A$32,0)),"")="","",IFERROR(INDEX(Parameters!$K$5:$K$32,MATCH(I$8,Parameters!$A$5:$A$32,0)),""))</f>
        <v>5</v>
      </c>
      <c r="J46" s="35" t="n">
        <f aca="false">IF(IFERROR(INDEX(Parameters!$K$5:$K$32,MATCH(J$8,Parameters!$A$5:$A$32,0)),"")="","",IFERROR(INDEX(Parameters!$K$5:$K$32,MATCH(J$8,Parameters!$A$5:$A$32,0)),""))</f>
        <v>85</v>
      </c>
      <c r="K46" s="35" t="n">
        <f aca="false">IF(IFERROR(INDEX(Parameters!$K$5:$K$32,MATCH(K$8,Parameters!$A$5:$A$32,0)),"")="","",IFERROR(INDEX(Parameters!$K$5:$K$32,MATCH(K$8,Parameters!$A$5:$A$32,0)),""))</f>
        <v>85</v>
      </c>
      <c r="L46" s="35" t="str">
        <f aca="false">IF(IFERROR(INDEX(Parameters!$K$5:$K$32,MATCH(L$8,Parameters!$A$5:$A$32,0)),"")="","",IFERROR(INDEX(Parameters!$K$5:$K$32,MATCH(L$8,Parameters!$A$5:$A$32,0)),""))</f>
        <v/>
      </c>
    </row>
    <row r="47" customFormat="false" ht="15" hidden="false" customHeight="true" outlineLevel="0" collapsed="false">
      <c r="A47" s="11" t="s">
        <v>67</v>
      </c>
      <c r="B47" s="11"/>
      <c r="C47" s="35" t="n">
        <f aca="false">IF(IFERROR(INDEX(Parameters!$L$5:$L$32,MATCH(C$8,Parameters!$A$5:$A$32,0)),"")="","",IFERROR(INDEX(Parameters!$L$5:$L$32,MATCH(C$8,Parameters!$A$5:$A$32,0)),""))</f>
        <v>130</v>
      </c>
      <c r="D47" s="35" t="n">
        <f aca="false">IF(IFERROR(INDEX(Parameters!$L$5:$L$32,MATCH(D$8,Parameters!$A$5:$A$32,0)),"")="","",IFERROR(INDEX(Parameters!$L$5:$L$32,MATCH(D$8,Parameters!$A$5:$A$32,0)),""))</f>
        <v>40</v>
      </c>
      <c r="E47" s="35" t="n">
        <f aca="false">IF(IFERROR(INDEX(Parameters!$L$5:$L$32,MATCH(E$8,Parameters!$A$5:$A$32,0)),"")="","",IFERROR(INDEX(Parameters!$L$5:$L$32,MATCH(E$8,Parameters!$A$5:$A$32,0)),""))</f>
        <v>4.5</v>
      </c>
      <c r="F47" s="35" t="n">
        <f aca="false">IF(IFERROR(INDEX(Parameters!$L$5:$L$32,MATCH(F$8,Parameters!$A$5:$A$32,0)),"")="","",IFERROR(INDEX(Parameters!$L$5:$L$32,MATCH(F$8,Parameters!$A$5:$A$32,0)),""))</f>
        <v>100</v>
      </c>
      <c r="G47" s="35" t="n">
        <f aca="false">IF(IFERROR(INDEX(Parameters!$L$5:$L$32,MATCH(G$8,Parameters!$A$5:$A$32,0)),"")="","",IFERROR(INDEX(Parameters!$L$5:$L$32,MATCH(G$8,Parameters!$A$5:$A$32,0)),""))</f>
        <v>120</v>
      </c>
      <c r="H47" s="35" t="n">
        <f aca="false">IF(IFERROR(INDEX(Parameters!$L$5:$L$32,MATCH(H$8,Parameters!$A$5:$A$32,0)),"")="","",IFERROR(INDEX(Parameters!$L$5:$L$32,MATCH(H$8,Parameters!$A$5:$A$32,0)),""))</f>
        <v>90</v>
      </c>
      <c r="I47" s="35" t="n">
        <f aca="false">IF(IFERROR(INDEX(Parameters!$L$5:$L$32,MATCH(I$8,Parameters!$A$5:$A$32,0)),"")="","",IFERROR(INDEX(Parameters!$L$5:$L$32,MATCH(I$8,Parameters!$A$5:$A$32,0)),""))</f>
        <v>8</v>
      </c>
      <c r="J47" s="35" t="n">
        <f aca="false">IF(IFERROR(INDEX(Parameters!$L$5:$L$32,MATCH(J$8,Parameters!$A$5:$A$32,0)),"")="","",IFERROR(INDEX(Parameters!$L$5:$L$32,MATCH(J$8,Parameters!$A$5:$A$32,0)),""))</f>
        <v>95</v>
      </c>
      <c r="K47" s="35" t="n">
        <f aca="false">IF(IFERROR(INDEX(Parameters!$L$5:$L$32,MATCH(K$8,Parameters!$A$5:$A$32,0)),"")="","",IFERROR(INDEX(Parameters!$L$5:$L$32,MATCH(K$8,Parameters!$A$5:$A$32,0)),""))</f>
        <v>95</v>
      </c>
      <c r="L47" s="35" t="str">
        <f aca="false">IF(IFERROR(INDEX(Parameters!$L$5:$L$32,MATCH(L$8,Parameters!$A$5:$A$32,0)),"")="","",IFERROR(INDEX(Parameters!$L$5:$L$32,MATCH(L$8,Parameters!$A$5:$A$32,0)),""))</f>
        <v/>
      </c>
    </row>
    <row r="48" customFormat="false" ht="15" hidden="false" customHeight="true" outlineLevel="0" collapsed="false">
      <c r="A48" s="11" t="s">
        <v>68</v>
      </c>
      <c r="B48" s="11"/>
      <c r="C48" s="35" t="n">
        <f aca="false">COUNT(C$12:C$42)</f>
        <v>20</v>
      </c>
      <c r="D48" s="35" t="n">
        <f aca="false">COUNT(D$12:D$42)</f>
        <v>20</v>
      </c>
      <c r="E48" s="35" t="n">
        <f aca="false">COUNT(E$12:E$42)</f>
        <v>20</v>
      </c>
      <c r="F48" s="35" t="n">
        <f aca="false">COUNT(F$12:F$42)</f>
        <v>20</v>
      </c>
      <c r="G48" s="35" t="n">
        <f aca="false">COUNT(G$12:G$42)</f>
        <v>20</v>
      </c>
      <c r="H48" s="35" t="n">
        <f aca="false">COUNT(H$12:H$42)</f>
        <v>20</v>
      </c>
      <c r="I48" s="35" t="n">
        <f aca="false">COUNT(I$12:I$42)</f>
        <v>20</v>
      </c>
      <c r="J48" s="35" t="n">
        <f aca="false">COUNT(J$12:J$42)</f>
        <v>20</v>
      </c>
      <c r="K48" s="35" t="n">
        <f aca="false">COUNT(K$12:K$42)</f>
        <v>20</v>
      </c>
      <c r="L48" s="35" t="n">
        <f aca="false">COUNT(L$12:L$42)</f>
        <v>20</v>
      </c>
    </row>
    <row r="49" customFormat="false" ht="15" hidden="false" customHeight="true" outlineLevel="0" collapsed="false">
      <c r="A49" s="11" t="s">
        <v>69</v>
      </c>
      <c r="B49" s="11"/>
      <c r="C49" s="35" t="n">
        <f aca="false">IF(C48=0,"",INDEX(C$12:C$42,MATCH(9.99E+307,C$12:C$42)))</f>
        <v>103</v>
      </c>
      <c r="D49" s="35" t="n">
        <f aca="false">IF(D48=0,"",INDEX(D$12:D$42,MATCH(9.99E+307,D$12:D$42)))</f>
        <v>31</v>
      </c>
      <c r="E49" s="35" t="n">
        <f aca="false">IF(E48=0,"",INDEX(E$12:E$42,MATCH(9.99E+307,E$12:E$42)))</f>
        <v>2.9</v>
      </c>
      <c r="F49" s="35" t="n">
        <f aca="false">IF(F48=0,"",INDEX(F$12:F$42,MATCH(9.99E+307,F$12:F$42)))</f>
        <v>58</v>
      </c>
      <c r="G49" s="35" t="n">
        <f aca="false">IF(G48=0,"",INDEX(G$12:G$42,MATCH(9.99E+307,G$12:G$42)))</f>
        <v>83</v>
      </c>
      <c r="H49" s="35" t="n">
        <f aca="false">IF(H48=0,"",INDEX(H$12:H$42,MATCH(9.99E+307,H$12:H$42)))</f>
        <v>68</v>
      </c>
      <c r="I49" s="35" t="n">
        <f aca="false">IF(I48=0,"",INDEX(I$12:I$42,MATCH(9.99E+307,I$12:I$42)))</f>
        <v>6</v>
      </c>
      <c r="J49" s="35" t="n">
        <f aca="false">IF(J48=0,"",INDEX(J$12:J$42,MATCH(9.99E+307,J$12:J$42)))</f>
        <v>71</v>
      </c>
      <c r="K49" s="35" t="n">
        <f aca="false">IF(K48=0,"",INDEX(K$12:K$42,MATCH(9.99E+307,K$12:K$42)))</f>
        <v>73</v>
      </c>
      <c r="L49" s="35" t="n">
        <f aca="false">IF(L48=0,"",INDEX(L$12:L$42,MATCH(9.99E+307,L$12:L$42)))</f>
        <v>7.5</v>
      </c>
    </row>
    <row r="50" customFormat="false" ht="22.35" hidden="false" customHeight="true" outlineLevel="0" collapsed="false">
      <c r="A50" s="11" t="s">
        <v>70</v>
      </c>
      <c r="B50" s="11"/>
      <c r="C50" s="35" t="n">
        <f aca="false">IF(C48=0,"",INDEX($A$12:$A$42,MATCH(9.99E+307,C$12:C$42)))</f>
        <v>20</v>
      </c>
      <c r="D50" s="35" t="n">
        <f aca="false">IF(D48=0,"",INDEX($A$12:$A$42,MATCH(9.99E+307,D$12:D$42)))</f>
        <v>20</v>
      </c>
      <c r="E50" s="35" t="n">
        <f aca="false">IF(E48=0,"",INDEX($A$12:$A$42,MATCH(9.99E+307,E$12:E$42)))</f>
        <v>20</v>
      </c>
      <c r="F50" s="35" t="n">
        <f aca="false">IF(F48=0,"",INDEX($A$12:$A$42,MATCH(9.99E+307,F$12:F$42)))</f>
        <v>20</v>
      </c>
      <c r="G50" s="35" t="n">
        <f aca="false">IF(G48=0,"",INDEX($A$12:$A$42,MATCH(9.99E+307,G$12:G$42)))</f>
        <v>20</v>
      </c>
      <c r="H50" s="35" t="n">
        <f aca="false">IF(H48=0,"",INDEX($A$12:$A$42,MATCH(9.99E+307,H$12:H$42)))</f>
        <v>20</v>
      </c>
      <c r="I50" s="35" t="n">
        <f aca="false">IF(I48=0,"",INDEX($A$12:$A$42,MATCH(9.99E+307,I$12:I$42)))</f>
        <v>20</v>
      </c>
      <c r="J50" s="35" t="n">
        <f aca="false">IF(J48=0,"",INDEX($A$12:$A$42,MATCH(9.99E+307,J$12:J$42)))</f>
        <v>20</v>
      </c>
      <c r="K50" s="35" t="n">
        <f aca="false">IF(K48=0,"",INDEX($A$12:$A$42,MATCH(9.99E+307,K$12:K$42)))</f>
        <v>20</v>
      </c>
      <c r="L50" s="35" t="n">
        <f aca="false">IF(L48=0,"",INDEX($A$12:$A$42,MATCH(9.99E+307,L$12:L$42)))</f>
        <v>20</v>
      </c>
    </row>
    <row r="51" customFormat="false" ht="15" hidden="false" customHeight="true" outlineLevel="0" collapsed="false">
      <c r="A51" s="11" t="s">
        <v>71</v>
      </c>
      <c r="B51" s="11"/>
      <c r="C51" s="36" t="n">
        <f aca="false">IF(C48=0,"",AVERAGE(C$12:C$42))</f>
        <v>91.75</v>
      </c>
      <c r="D51" s="36" t="n">
        <f aca="false">IF(D48=0,"",AVERAGE(D$12:D$42))</f>
        <v>30.25</v>
      </c>
      <c r="E51" s="36" t="n">
        <f aca="false">IF(E48=0,"",AVERAGE(E$12:E$42))</f>
        <v>2.185</v>
      </c>
      <c r="F51" s="36" t="n">
        <f aca="false">IF(F48=0,"",AVERAGE(F$12:F$42))</f>
        <v>63.45</v>
      </c>
      <c r="G51" s="36" t="n">
        <f aca="false">IF(G48=0,"",AVERAGE(G$12:G$42))</f>
        <v>82.3</v>
      </c>
      <c r="H51" s="36" t="n">
        <f aca="false">IF(H48=0,"",AVERAGE(H$12:H$42))</f>
        <v>66.65</v>
      </c>
      <c r="I51" s="36" t="n">
        <f aca="false">IF(I48=0,"",AVERAGE(I$12:I$42))</f>
        <v>5.35</v>
      </c>
      <c r="J51" s="36" t="n">
        <f aca="false">IF(J48=0,"",AVERAGE(J$12:J$42))</f>
        <v>70.65</v>
      </c>
      <c r="K51" s="36" t="n">
        <f aca="false">IF(K48=0,"",AVERAGE(K$12:K$42))</f>
        <v>72.05</v>
      </c>
      <c r="L51" s="36" t="n">
        <f aca="false">IF(L48=0,"",AVERAGE(L$12:L$42))</f>
        <v>7.775</v>
      </c>
    </row>
    <row r="52" customFormat="false" ht="15" hidden="false" customHeight="true" outlineLevel="0" collapsed="false">
      <c r="A52" s="11" t="s">
        <v>72</v>
      </c>
      <c r="B52" s="11"/>
      <c r="C52" s="37" t="n">
        <f aca="false">IF(C48&lt;5,"",SLOPE(C$12:C$42,$A$12:$A$42))</f>
        <v>1.3015037593985</v>
      </c>
      <c r="D52" s="37" t="n">
        <f aca="false">IF(D48&lt;5,"",SLOPE(D$12:D$42,$A$12:$A$42))</f>
        <v>0.0458646616541353</v>
      </c>
      <c r="E52" s="37" t="n">
        <f aca="false">IF(E48&lt;5,"",SLOPE(E$12:E$42,$A$12:$A$42))</f>
        <v>0.0743609022556391</v>
      </c>
      <c r="F52" s="37" t="n">
        <f aca="false">IF(F48&lt;5,"",SLOPE(F$12:F$42,$A$12:$A$42))</f>
        <v>-0.662406015037594</v>
      </c>
      <c r="G52" s="37" t="n">
        <f aca="false">IF(G48&lt;5,"",SLOPE(G$12:G$42,$A$12:$A$42))</f>
        <v>0.109774436090226</v>
      </c>
      <c r="H52" s="37" t="n">
        <f aca="false">IF(H48&lt;5,"",SLOPE(H$12:H$42,$A$12:$A$42))</f>
        <v>0.151127819548872</v>
      </c>
      <c r="I52" s="37" t="n">
        <f aca="false">IF(I48&lt;5,"",SLOPE(I$12:I$42,$A$12:$A$42))</f>
        <v>0.0413533834586466</v>
      </c>
      <c r="J52" s="37" t="n">
        <f aca="false">IF(J48&lt;5,"",SLOPE(J$12:J$42,$A$12:$A$42))</f>
        <v>0.0263157894736842</v>
      </c>
      <c r="K52" s="37" t="n">
        <f aca="false">IF(K48&lt;5,"",SLOPE(K$12:K$42,$A$12:$A$42))</f>
        <v>0.167669172932331</v>
      </c>
      <c r="L52" s="37" t="n">
        <f aca="false">IF(L48&lt;5,"",SLOPE(L$12:L$42,$A$12:$A$42))</f>
        <v>-0.0382706766917293</v>
      </c>
    </row>
    <row r="53" customFormat="false" ht="22.35" hidden="false" customHeight="true" outlineLevel="0" collapsed="false">
      <c r="A53" s="11" t="s">
        <v>73</v>
      </c>
      <c r="B53" s="11"/>
      <c r="C53" s="36" t="n">
        <f aca="false">IF(C52="","",INTERCEPT(C$12:C$42,$A$12:$A$42)+C52*C50)</f>
        <v>104.114285714286</v>
      </c>
      <c r="D53" s="36" t="n">
        <f aca="false">IF(D52="","",INTERCEPT(D$12:D$42,$A$12:$A$42)+D52*D50)</f>
        <v>30.6857142857143</v>
      </c>
      <c r="E53" s="36" t="n">
        <f aca="false">IF(E52="","",INTERCEPT(E$12:E$42,$A$12:$A$42)+E52*E50)</f>
        <v>2.89142857142857</v>
      </c>
      <c r="F53" s="36" t="n">
        <f aca="false">IF(F52="","",INTERCEPT(F$12:F$42,$A$12:$A$42)+F52*F50)</f>
        <v>57.1571428571429</v>
      </c>
      <c r="G53" s="36" t="n">
        <f aca="false">IF(G52="","",INTERCEPT(G$12:G$42,$A$12:$A$42)+G52*G50)</f>
        <v>83.3428571428571</v>
      </c>
      <c r="H53" s="36" t="n">
        <f aca="false">IF(H52="","",INTERCEPT(H$12:H$42,$A$12:$A$42)+H52*H50)</f>
        <v>68.0857142857143</v>
      </c>
      <c r="I53" s="36" t="n">
        <f aca="false">IF(I52="","",INTERCEPT(I$12:I$42,$A$12:$A$42)+I52*I50)</f>
        <v>5.74285714285714</v>
      </c>
      <c r="J53" s="36" t="n">
        <f aca="false">IF(J52="","",INTERCEPT(J$12:J$42,$A$12:$A$42)+J52*J50)</f>
        <v>70.9</v>
      </c>
      <c r="K53" s="36" t="n">
        <f aca="false">IF(K52="","",INTERCEPT(K$12:K$42,$A$12:$A$42)+K52*K50)</f>
        <v>73.6428571428571</v>
      </c>
      <c r="L53" s="36" t="n">
        <f aca="false">IF(L52="","",INTERCEPT(L$12:L$42,$A$12:$A$42)+L52*L50)</f>
        <v>7.41142857142857</v>
      </c>
    </row>
    <row r="54" customFormat="false" ht="22.35" hidden="false" customHeight="true" outlineLevel="0" collapsed="false">
      <c r="A54" s="11" t="s">
        <v>74</v>
      </c>
      <c r="B54" s="11"/>
      <c r="C54" s="38" t="n">
        <f aca="false">IF(OR(C52="",C52=0),"",IF(C52&gt;0,IF(C47="","",IF(C53&gt;=C47,0,(C47-C53)/C52)),IF(C44="","",IF(C53&lt;=C44,0,(C53-C44)/(-C52)))))</f>
        <v>19.8890814558059</v>
      </c>
      <c r="D54" s="38" t="n">
        <f aca="false">IF(OR(D52="",D52=0),"",IF(D52&gt;0,IF(D47="","",IF(D53&gt;=D47,0,(D47-D53)/D52)),IF(D44="","",IF(D53&lt;=D44,0,(D53-D44)/(-D52)))))</f>
        <v>203.081967213115</v>
      </c>
      <c r="E54" s="38" t="n">
        <f aca="false">IF(OR(E52="",E52=0),"",IF(E52&gt;0,IF(E47="","",IF(E53&gt;=E47,0,(E47-E53)/E52)),IF(E44="","",IF(E53&lt;=E44,0,(E53-E44)/(-E52)))))</f>
        <v>21.6319514661274</v>
      </c>
      <c r="F54" s="38" t="n">
        <f aca="false">IF(OR(F52="",F52=0),"",IF(F52&gt;0,IF(F47="","",IF(F53&gt;=F47,0,(F47-F53)/F52)),IF(F44="","",IF(F53&lt;=F44,0,(F53-F44)/(-F52)))))</f>
        <v>18.3530079455165</v>
      </c>
      <c r="G54" s="38" t="n">
        <f aca="false">IF(OR(G52="",G52=0),"",IF(G52&gt;0,IF(G47="","",IF(G53&gt;=G47,0,(G47-G53)/G52)),IF(G44="","",IF(G53&lt;=G44,0,(G53-G44)/(-G52)))))</f>
        <v>333.931506849315</v>
      </c>
      <c r="H54" s="38" t="n">
        <f aca="false">IF(OR(H52="",H52=0),"",IF(H52&gt;0,IF(H47="","",IF(H53&gt;=H47,0,(H47-H53)/H52)),IF(H44="","",IF(H53&lt;=H44,0,(H53-H44)/(-H52)))))</f>
        <v>145.004975124378</v>
      </c>
      <c r="I54" s="38" t="n">
        <f aca="false">IF(OR(I52="",I52=0),"",IF(I52&gt;0,IF(I47="","",IF(I53&gt;=I47,0,(I47-I53)/I52)),IF(I44="","",IF(I53&lt;=I44,0,(I53-I44)/(-I52)))))</f>
        <v>54.5818181818182</v>
      </c>
      <c r="J54" s="38" t="n">
        <f aca="false">IF(OR(J52="",J52=0),"",IF(J52&gt;0,IF(J47="","",IF(J53&gt;=J47,0,(J47-J53)/J52)),IF(J44="","",IF(J53&lt;=J44,0,(J53-J44)/(-J52)))))</f>
        <v>915.8</v>
      </c>
      <c r="K54" s="38" t="n">
        <f aca="false">IF(OR(K52="",K52=0),"",IF(K52&gt;0,IF(K47="","",IF(K53&gt;=K47,0,(K47-K53)/K52)),IF(K44="","",IF(K53&lt;=K44,0,(K53-K44)/(-K52)))))</f>
        <v>127.37668161435</v>
      </c>
      <c r="L54" s="38" t="n">
        <f aca="false">IF(OR(L52="",L52=0),"",IF(L52&gt;0,IF(L47="","",IF(L53&gt;=L47,0,(L47-L53)/L52)),IF(L44="","",IF(L53&lt;=L44,0,(L53-L44)/(-L52)))))</f>
        <v>115.269155206287</v>
      </c>
    </row>
    <row r="55" customFormat="false" ht="42" hidden="false" customHeight="true" outlineLevel="0" collapsed="false">
      <c r="A55" s="11" t="s">
        <v>75</v>
      </c>
      <c r="B55" s="11"/>
      <c r="C55" s="39" t="str">
        <f aca="false">IF(C48&lt;5,"Needs 5 readings",IF(C54="","Stable / no limit in the trend direction",IF(C54&lt;=0,"AT THE LIMIT: act now",IF(C54&lt;=7,"PLAN WORK within "&amp;ROUND(C54,0)&amp;" days",IF(C54&lt;=30,"WATCH: limit in about "&amp;ROUND(C54,0)&amp;" days","Stable")))))</f>
        <v>WATCH: limit in about 20 days</v>
      </c>
      <c r="D55" s="39" t="str">
        <f aca="false">IF(D48&lt;5,"Needs 5 readings",IF(D54="","Stable / no limit in the trend direction",IF(D54&lt;=0,"AT THE LIMIT: act now",IF(D54&lt;=7,"PLAN WORK within "&amp;ROUND(D54,0)&amp;" days",IF(D54&lt;=30,"WATCH: limit in about "&amp;ROUND(D54,0)&amp;" days","Stable")))))</f>
        <v>Stable</v>
      </c>
      <c r="E55" s="39" t="str">
        <f aca="false">IF(E48&lt;5,"Needs 5 readings",IF(E54="","Stable / no limit in the trend direction",IF(E54&lt;=0,"AT THE LIMIT: act now",IF(E54&lt;=7,"PLAN WORK within "&amp;ROUND(E54,0)&amp;" days",IF(E54&lt;=30,"WATCH: limit in about "&amp;ROUND(E54,0)&amp;" days","Stable")))))</f>
        <v>WATCH: limit in about 22 days</v>
      </c>
      <c r="F55" s="39" t="str">
        <f aca="false">IF(F48&lt;5,"Needs 5 readings",IF(F54="","Stable / no limit in the trend direction",IF(F54&lt;=0,"AT THE LIMIT: act now",IF(F54&lt;=7,"PLAN WORK within "&amp;ROUND(F54,0)&amp;" days",IF(F54&lt;=30,"WATCH: limit in about "&amp;ROUND(F54,0)&amp;" days","Stable")))))</f>
        <v>WATCH: limit in about 18 days</v>
      </c>
      <c r="G55" s="39" t="str">
        <f aca="false">IF(G48&lt;5,"Needs 5 readings",IF(G54="","Stable / no limit in the trend direction",IF(G54&lt;=0,"AT THE LIMIT: act now",IF(G54&lt;=7,"PLAN WORK within "&amp;ROUND(G54,0)&amp;" days",IF(G54&lt;=30,"WATCH: limit in about "&amp;ROUND(G54,0)&amp;" days","Stable")))))</f>
        <v>Stable</v>
      </c>
      <c r="H55" s="39" t="str">
        <f aca="false">IF(H48&lt;5,"Needs 5 readings",IF(H54="","Stable / no limit in the trend direction",IF(H54&lt;=0,"AT THE LIMIT: act now",IF(H54&lt;=7,"PLAN WORK within "&amp;ROUND(H54,0)&amp;" days",IF(H54&lt;=30,"WATCH: limit in about "&amp;ROUND(H54,0)&amp;" days","Stable")))))</f>
        <v>Stable</v>
      </c>
      <c r="I55" s="39" t="str">
        <f aca="false">IF(I48&lt;5,"Needs 5 readings",IF(I54="","Stable / no limit in the trend direction",IF(I54&lt;=0,"AT THE LIMIT: act now",IF(I54&lt;=7,"PLAN WORK within "&amp;ROUND(I54,0)&amp;" days",IF(I54&lt;=30,"WATCH: limit in about "&amp;ROUND(I54,0)&amp;" days","Stable")))))</f>
        <v>Stable</v>
      </c>
      <c r="J55" s="39" t="str">
        <f aca="false">IF(J48&lt;5,"Needs 5 readings",IF(J54="","Stable / no limit in the trend direction",IF(J54&lt;=0,"AT THE LIMIT: act now",IF(J54&lt;=7,"PLAN WORK within "&amp;ROUND(J54,0)&amp;" days",IF(J54&lt;=30,"WATCH: limit in about "&amp;ROUND(J54,0)&amp;" days","Stable")))))</f>
        <v>Stable</v>
      </c>
      <c r="K55" s="39" t="str">
        <f aca="false">IF(K48&lt;5,"Needs 5 readings",IF(K54="","Stable / no limit in the trend direction",IF(K54&lt;=0,"AT THE LIMIT: act now",IF(K54&lt;=7,"PLAN WORK within "&amp;ROUND(K54,0)&amp;" days",IF(K54&lt;=30,"WATCH: limit in about "&amp;ROUND(K54,0)&amp;" days","Stable")))))</f>
        <v>Stable</v>
      </c>
      <c r="L55" s="39" t="str">
        <f aca="false">IF(L48&lt;5,"Needs 5 readings",IF(L54="","Stable / no limit in the trend direction",IF(L54&lt;=0,"AT THE LIMIT: act now",IF(L54&lt;=7,"PLAN WORK within "&amp;ROUND(L54,0)&amp;" days",IF(L54&lt;=30,"WATCH: limit in about "&amp;ROUND(L54,0)&amp;" days","Stable")))))</f>
        <v>Stable</v>
      </c>
    </row>
    <row r="57" customFormat="false" ht="39.75" hidden="false" customHeight="true" outlineLevel="0" collapsed="false">
      <c r="A57" s="14" t="s">
        <v>76</v>
      </c>
      <c r="B57" s="14"/>
      <c r="C57" s="14"/>
      <c r="D57" s="14"/>
      <c r="E57" s="14"/>
      <c r="F57" s="14"/>
      <c r="G57" s="14"/>
      <c r="H57" s="14"/>
      <c r="I57" s="14"/>
      <c r="J57" s="14"/>
      <c r="K57" s="14"/>
      <c r="L57" s="14"/>
    </row>
  </sheetData>
  <mergeCells count="21">
    <mergeCell ref="A1:L1"/>
    <mergeCell ref="A2:L3"/>
    <mergeCell ref="A5:B5"/>
    <mergeCell ref="C5:D5"/>
    <mergeCell ref="E5:F5"/>
    <mergeCell ref="G5:H5"/>
    <mergeCell ref="A6:L6"/>
    <mergeCell ref="A43:B43"/>
    <mergeCell ref="A44:B44"/>
    <mergeCell ref="A45:B45"/>
    <mergeCell ref="A46:B46"/>
    <mergeCell ref="A47:B47"/>
    <mergeCell ref="A48:B48"/>
    <mergeCell ref="A49:B49"/>
    <mergeCell ref="A50:B50"/>
    <mergeCell ref="A51:B51"/>
    <mergeCell ref="A52:B52"/>
    <mergeCell ref="A53:B53"/>
    <mergeCell ref="A54:B54"/>
    <mergeCell ref="A55:B55"/>
    <mergeCell ref="A57:L57"/>
  </mergeCells>
  <conditionalFormatting sqref="C55">
    <cfRule type="expression" priority="2" aboveAverage="0" equalAverage="0" bottom="0" percent="0" rank="0" text="" dxfId="0">
      <formula>OR(LEFT(C55,2)="AT",LEFT(C55,4)="PLAN")</formula>
    </cfRule>
    <cfRule type="expression" priority="3" aboveAverage="0" equalAverage="0" bottom="0" percent="0" rank="0" text="" dxfId="1">
      <formula>LEFT(C55,5)="WATCH"</formula>
    </cfRule>
    <cfRule type="expression" priority="4" aboveAverage="0" equalAverage="0" bottom="0" percent="0" rank="0" text="" dxfId="2">
      <formula>LEFT(C55,6)="Stable"</formula>
    </cfRule>
  </conditionalFormatting>
  <conditionalFormatting sqref="C12:C42">
    <cfRule type="expression" priority="5" aboveAverage="0" equalAverage="0" bottom="0" percent="0" rank="0" text="" dxfId="0">
      <formula>AND(ISNUMBER(C12),OR(AND(C$44&lt;&gt;"",C12&lt;C$44),AND(C$47&lt;&gt;"",C12&gt;C$47)))</formula>
    </cfRule>
    <cfRule type="expression" priority="6" aboveAverage="0" equalAverage="0" bottom="0" percent="0" rank="0" text="" dxfId="4">
      <formula>AND(ISNUMBER(C12),OR(AND(C$45&lt;&gt;"",C12&lt;C$45),AND(C$46&lt;&gt;"",C12&gt;C$46)))</formula>
    </cfRule>
  </conditionalFormatting>
  <conditionalFormatting sqref="D55">
    <cfRule type="expression" priority="7" aboveAverage="0" equalAverage="0" bottom="0" percent="0" rank="0" text="" dxfId="0">
      <formula>OR(LEFT(D55,2)="AT",LEFT(D55,4)="PLAN")</formula>
    </cfRule>
    <cfRule type="expression" priority="8" aboveAverage="0" equalAverage="0" bottom="0" percent="0" rank="0" text="" dxfId="1">
      <formula>LEFT(D55,5)="WATCH"</formula>
    </cfRule>
    <cfRule type="expression" priority="9" aboveAverage="0" equalAverage="0" bottom="0" percent="0" rank="0" text="" dxfId="2">
      <formula>LEFT(D55,6)="Stable"</formula>
    </cfRule>
  </conditionalFormatting>
  <conditionalFormatting sqref="D12:D42">
    <cfRule type="expression" priority="10" aboveAverage="0" equalAverage="0" bottom="0" percent="0" rank="0" text="" dxfId="0">
      <formula>AND(ISNUMBER(D12),OR(AND(D$44&lt;&gt;"",D12&lt;D$44),AND(D$47&lt;&gt;"",D12&gt;D$47)))</formula>
    </cfRule>
    <cfRule type="expression" priority="11" aboveAverage="0" equalAverage="0" bottom="0" percent="0" rank="0" text="" dxfId="4">
      <formula>AND(ISNUMBER(D12),OR(AND(D$45&lt;&gt;"",D12&lt;D$45),AND(D$46&lt;&gt;"",D12&gt;D$46)))</formula>
    </cfRule>
  </conditionalFormatting>
  <conditionalFormatting sqref="E55">
    <cfRule type="expression" priority="12" aboveAverage="0" equalAverage="0" bottom="0" percent="0" rank="0" text="" dxfId="0">
      <formula>OR(LEFT(E55,2)="AT",LEFT(E55,4)="PLAN")</formula>
    </cfRule>
    <cfRule type="expression" priority="13" aboveAverage="0" equalAverage="0" bottom="0" percent="0" rank="0" text="" dxfId="1">
      <formula>LEFT(E55,5)="WATCH"</formula>
    </cfRule>
    <cfRule type="expression" priority="14" aboveAverage="0" equalAverage="0" bottom="0" percent="0" rank="0" text="" dxfId="2">
      <formula>LEFT(E55,6)="Stable"</formula>
    </cfRule>
  </conditionalFormatting>
  <conditionalFormatting sqref="E12:E42">
    <cfRule type="expression" priority="15" aboveAverage="0" equalAverage="0" bottom="0" percent="0" rank="0" text="" dxfId="0">
      <formula>AND(ISNUMBER(E12),OR(AND(E$44&lt;&gt;"",E12&lt;E$44),AND(E$47&lt;&gt;"",E12&gt;E$47)))</formula>
    </cfRule>
    <cfRule type="expression" priority="16" aboveAverage="0" equalAverage="0" bottom="0" percent="0" rank="0" text="" dxfId="4">
      <formula>AND(ISNUMBER(E12),OR(AND(E$45&lt;&gt;"",E12&lt;E$45),AND(E$46&lt;&gt;"",E12&gt;E$46)))</formula>
    </cfRule>
  </conditionalFormatting>
  <conditionalFormatting sqref="F55">
    <cfRule type="expression" priority="17" aboveAverage="0" equalAverage="0" bottom="0" percent="0" rank="0" text="" dxfId="0">
      <formula>OR(LEFT(F55,2)="AT",LEFT(F55,4)="PLAN")</formula>
    </cfRule>
    <cfRule type="expression" priority="18" aboveAverage="0" equalAverage="0" bottom="0" percent="0" rank="0" text="" dxfId="1">
      <formula>LEFT(F55,5)="WATCH"</formula>
    </cfRule>
    <cfRule type="expression" priority="19" aboveAverage="0" equalAverage="0" bottom="0" percent="0" rank="0" text="" dxfId="2">
      <formula>LEFT(F55,6)="Stable"</formula>
    </cfRule>
  </conditionalFormatting>
  <conditionalFormatting sqref="F12:F42">
    <cfRule type="expression" priority="20" aboveAverage="0" equalAverage="0" bottom="0" percent="0" rank="0" text="" dxfId="0">
      <formula>AND(ISNUMBER(F12),OR(AND(F$44&lt;&gt;"",F12&lt;F$44),AND(F$47&lt;&gt;"",F12&gt;F$47)))</formula>
    </cfRule>
    <cfRule type="expression" priority="21" aboveAverage="0" equalAverage="0" bottom="0" percent="0" rank="0" text="" dxfId="4">
      <formula>AND(ISNUMBER(F12),OR(AND(F$45&lt;&gt;"",F12&lt;F$45),AND(F$46&lt;&gt;"",F12&gt;F$46)))</formula>
    </cfRule>
  </conditionalFormatting>
  <conditionalFormatting sqref="G55">
    <cfRule type="expression" priority="22" aboveAverage="0" equalAverage="0" bottom="0" percent="0" rank="0" text="" dxfId="0">
      <formula>OR(LEFT(G55,2)="AT",LEFT(G55,4)="PLAN")</formula>
    </cfRule>
    <cfRule type="expression" priority="23" aboveAverage="0" equalAverage="0" bottom="0" percent="0" rank="0" text="" dxfId="1">
      <formula>LEFT(G55,5)="WATCH"</formula>
    </cfRule>
    <cfRule type="expression" priority="24" aboveAverage="0" equalAverage="0" bottom="0" percent="0" rank="0" text="" dxfId="2">
      <formula>LEFT(G55,6)="Stable"</formula>
    </cfRule>
  </conditionalFormatting>
  <conditionalFormatting sqref="G12:G42">
    <cfRule type="expression" priority="25" aboveAverage="0" equalAverage="0" bottom="0" percent="0" rank="0" text="" dxfId="0">
      <formula>AND(ISNUMBER(G12),OR(AND(G$44&lt;&gt;"",G12&lt;G$44),AND(G$47&lt;&gt;"",G12&gt;G$47)))</formula>
    </cfRule>
    <cfRule type="expression" priority="26" aboveAverage="0" equalAverage="0" bottom="0" percent="0" rank="0" text="" dxfId="4">
      <formula>AND(ISNUMBER(G12),OR(AND(G$45&lt;&gt;"",G12&lt;G$45),AND(G$46&lt;&gt;"",G12&gt;G$46)))</formula>
    </cfRule>
  </conditionalFormatting>
  <conditionalFormatting sqref="H55">
    <cfRule type="expression" priority="27" aboveAverage="0" equalAverage="0" bottom="0" percent="0" rank="0" text="" dxfId="0">
      <formula>OR(LEFT(H55,2)="AT",LEFT(H55,4)="PLAN")</formula>
    </cfRule>
    <cfRule type="expression" priority="28" aboveAverage="0" equalAverage="0" bottom="0" percent="0" rank="0" text="" dxfId="1">
      <formula>LEFT(H55,5)="WATCH"</formula>
    </cfRule>
    <cfRule type="expression" priority="29" aboveAverage="0" equalAverage="0" bottom="0" percent="0" rank="0" text="" dxfId="2">
      <formula>LEFT(H55,6)="Stable"</formula>
    </cfRule>
  </conditionalFormatting>
  <conditionalFormatting sqref="H12:H42">
    <cfRule type="expression" priority="30" aboveAverage="0" equalAverage="0" bottom="0" percent="0" rank="0" text="" dxfId="0">
      <formula>AND(ISNUMBER(H12),OR(AND(H$44&lt;&gt;"",H12&lt;H$44),AND(H$47&lt;&gt;"",H12&gt;H$47)))</formula>
    </cfRule>
    <cfRule type="expression" priority="31" aboveAverage="0" equalAverage="0" bottom="0" percent="0" rank="0" text="" dxfId="4">
      <formula>AND(ISNUMBER(H12),OR(AND(H$45&lt;&gt;"",H12&lt;H$45),AND(H$46&lt;&gt;"",H12&gt;H$46)))</formula>
    </cfRule>
  </conditionalFormatting>
  <conditionalFormatting sqref="I55">
    <cfRule type="expression" priority="32" aboveAverage="0" equalAverage="0" bottom="0" percent="0" rank="0" text="" dxfId="0">
      <formula>OR(LEFT(I55,2)="AT",LEFT(I55,4)="PLAN")</formula>
    </cfRule>
    <cfRule type="expression" priority="33" aboveAverage="0" equalAverage="0" bottom="0" percent="0" rank="0" text="" dxfId="1">
      <formula>LEFT(I55,5)="WATCH"</formula>
    </cfRule>
    <cfRule type="expression" priority="34" aboveAverage="0" equalAverage="0" bottom="0" percent="0" rank="0" text="" dxfId="2">
      <formula>LEFT(I55,6)="Stable"</formula>
    </cfRule>
  </conditionalFormatting>
  <conditionalFormatting sqref="I12:I42">
    <cfRule type="expression" priority="35" aboveAverage="0" equalAverage="0" bottom="0" percent="0" rank="0" text="" dxfId="0">
      <formula>AND(ISNUMBER(I12),OR(AND(I$44&lt;&gt;"",I12&lt;I$44),AND(I$47&lt;&gt;"",I12&gt;I$47)))</formula>
    </cfRule>
    <cfRule type="expression" priority="36" aboveAverage="0" equalAverage="0" bottom="0" percent="0" rank="0" text="" dxfId="4">
      <formula>AND(ISNUMBER(I12),OR(AND(I$45&lt;&gt;"",I12&lt;I$45),AND(I$46&lt;&gt;"",I12&gt;I$46)))</formula>
    </cfRule>
  </conditionalFormatting>
  <conditionalFormatting sqref="J55">
    <cfRule type="expression" priority="37" aboveAverage="0" equalAverage="0" bottom="0" percent="0" rank="0" text="" dxfId="0">
      <formula>OR(LEFT(J55,2)="AT",LEFT(J55,4)="PLAN")</formula>
    </cfRule>
    <cfRule type="expression" priority="38" aboveAverage="0" equalAverage="0" bottom="0" percent="0" rank="0" text="" dxfId="1">
      <formula>LEFT(J55,5)="WATCH"</formula>
    </cfRule>
    <cfRule type="expression" priority="39" aboveAverage="0" equalAverage="0" bottom="0" percent="0" rank="0" text="" dxfId="2">
      <formula>LEFT(J55,6)="Stable"</formula>
    </cfRule>
  </conditionalFormatting>
  <conditionalFormatting sqref="J12:J42">
    <cfRule type="expression" priority="40" aboveAverage="0" equalAverage="0" bottom="0" percent="0" rank="0" text="" dxfId="0">
      <formula>AND(ISNUMBER(J12),OR(AND(J$44&lt;&gt;"",J12&lt;J$44),AND(J$47&lt;&gt;"",J12&gt;J$47)))</formula>
    </cfRule>
    <cfRule type="expression" priority="41" aboveAverage="0" equalAverage="0" bottom="0" percent="0" rank="0" text="" dxfId="4">
      <formula>AND(ISNUMBER(J12),OR(AND(J$45&lt;&gt;"",J12&lt;J$45),AND(J$46&lt;&gt;"",J12&gt;J$46)))</formula>
    </cfRule>
  </conditionalFormatting>
  <conditionalFormatting sqref="K55">
    <cfRule type="expression" priority="42" aboveAverage="0" equalAverage="0" bottom="0" percent="0" rank="0" text="" dxfId="0">
      <formula>OR(LEFT(K55,2)="AT",LEFT(K55,4)="PLAN")</formula>
    </cfRule>
    <cfRule type="expression" priority="43" aboveAverage="0" equalAverage="0" bottom="0" percent="0" rank="0" text="" dxfId="1">
      <formula>LEFT(K55,5)="WATCH"</formula>
    </cfRule>
    <cfRule type="expression" priority="44" aboveAverage="0" equalAverage="0" bottom="0" percent="0" rank="0" text="" dxfId="2">
      <formula>LEFT(K55,6)="Stable"</formula>
    </cfRule>
  </conditionalFormatting>
  <conditionalFormatting sqref="K12:K42">
    <cfRule type="expression" priority="45" aboveAverage="0" equalAverage="0" bottom="0" percent="0" rank="0" text="" dxfId="0">
      <formula>AND(ISNUMBER(K12),OR(AND(K$44&lt;&gt;"",K12&lt;K$44),AND(K$47&lt;&gt;"",K12&gt;K$47)))</formula>
    </cfRule>
    <cfRule type="expression" priority="46" aboveAverage="0" equalAverage="0" bottom="0" percent="0" rank="0" text="" dxfId="4">
      <formula>AND(ISNUMBER(K12),OR(AND(K$45&lt;&gt;"",K12&lt;K$45),AND(K$46&lt;&gt;"",K12&gt;K$46)))</formula>
    </cfRule>
  </conditionalFormatting>
  <conditionalFormatting sqref="L55">
    <cfRule type="expression" priority="47" aboveAverage="0" equalAverage="0" bottom="0" percent="0" rank="0" text="" dxfId="0">
      <formula>OR(LEFT(L55,2)="AT",LEFT(L55,4)="PLAN")</formula>
    </cfRule>
    <cfRule type="expression" priority="48" aboveAverage="0" equalAverage="0" bottom="0" percent="0" rank="0" text="" dxfId="1">
      <formula>LEFT(L55,5)="WATCH"</formula>
    </cfRule>
    <cfRule type="expression" priority="49" aboveAverage="0" equalAverage="0" bottom="0" percent="0" rank="0" text="" dxfId="2">
      <formula>LEFT(L55,6)="Stable"</formula>
    </cfRule>
  </conditionalFormatting>
  <conditionalFormatting sqref="L12:L42">
    <cfRule type="expression" priority="50" aboveAverage="0" equalAverage="0" bottom="0" percent="0" rank="0" text="" dxfId="0">
      <formula>AND(ISNUMBER(L12),OR(AND(L$44&lt;&gt;"",L12&lt;L$44),AND(L$47&lt;&gt;"",L12&gt;L$47)))</formula>
    </cfRule>
    <cfRule type="expression" priority="51" aboveAverage="0" equalAverage="0" bottom="0" percent="0" rank="0" text="" dxfId="4">
      <formula>AND(ISNUMBER(L12),OR(AND(L$45&lt;&gt;"",L12&lt;L$45),AND(L$46&lt;&gt;"",L12&gt;L$46)))</formula>
    </cfRule>
  </conditionalFormatting>
  <dataValidations count="1">
    <dataValidation allowBlank="true" errorStyle="stop" operator="between" showDropDown="false" showErrorMessage="false" showInputMessage="false" sqref="C5" type="list">
      <formula1>"F-01,F-02,F-03,F-04"</formula1>
      <formula2>0</formula2>
    </dataValidation>
  </dataValidations>
  <printOptions headings="false" gridLines="false" gridLinesSet="true" horizontalCentered="fals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&amp;L&amp;8Form F-MT-02 Rev 0 · &amp;A</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2026-10-21T10:07:53Z</dcterms:created>
  <dc:creator>openpyxl</dc:creator>
  <dc:description/>
  <dc:language>en-US</dc:language>
  <cp:lastModifiedBy/>
  <dcterms:modified xsi:type="dcterms:W3CDTF">2026-10-21T10:07:54Z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