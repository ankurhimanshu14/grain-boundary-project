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tart-up" sheetId="2" state="visible" r:id="rId4"/>
    <sheet name="Shutdown" sheetId="3" state="visible" r:id="rId5"/>
    <sheet name="Example start-up" sheetId="4" state="visible" r:id="rId6"/>
    <sheet name="Example shutdown" sheetId="5" state="visible" r:id="rId7"/>
  </sheets>
  <definedNames>
    <definedName function="false" hidden="false" localSheetId="4" name="_xlnm.Print_Area" vbProcedure="false">'Example shutdown'!$A$1:$I$57</definedName>
    <definedName function="false" hidden="false" localSheetId="4" name="_xlnm.Print_Titles" vbProcedure="false">'Example shutdown'!$1:$3</definedName>
    <definedName function="false" hidden="false" localSheetId="3" name="_xlnm.Print_Area" vbProcedure="false">'Example start-up'!$A$1:$I$70</definedName>
    <definedName function="false" hidden="false" localSheetId="3" name="_xlnm.Print_Titles" vbProcedure="false">'Example start-up'!$1:$3</definedName>
    <definedName function="false" hidden="false" localSheetId="2" name="_xlnm.Print_Area" vbProcedure="false">Shutdown!$A$1:$I$57</definedName>
    <definedName function="false" hidden="false" localSheetId="2" name="_xlnm.Print_Titles" vbProcedure="false">Shutdown!$1:$3</definedName>
    <definedName function="false" hidden="false" localSheetId="1" name="_xlnm.Print_Area" vbProcedure="false">'Start-up'!$A$1:$I$70</definedName>
    <definedName function="false" hidden="false" localSheetId="1" name="_xlnm.Print_Titles" vbProcedure="false">'Start-up'!$1:$3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CALOR default ±10 °C (specification htol / ttol). Change to the tolerance of the specification in force.</t>
        </r>
      </text>
    </comment>
    <comment ref="C11" authorId="0">
      <text>
        <r>
          <rPr>
            <sz val="10"/>
            <rFont val="Arial"/>
            <family val="2"/>
          </rPr>
          <t xml:space="preserve">Site rule from CALOR → Alarms → Settings (soakMin 30 min); confirm against WI-HT-02 / the furnace manual.</t>
        </r>
      </text>
    </comment>
    <comment ref="C12" authorId="0">
      <text>
        <r>
          <rPr>
            <sz val="10"/>
            <rFont val="Arial"/>
            <family val="2"/>
          </rPr>
          <t xml:space="preserve">Site rule from CALOR → Alarms → Settings (firstHrs 8 h).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CALOR default ±10 °C.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CALOR default ±10 °C (specification htol / ttol). Change to the tolerance of the specification in force.</t>
        </r>
      </text>
    </comment>
    <comment ref="C11" authorId="0">
      <text>
        <r>
          <rPr>
            <sz val="10"/>
            <rFont val="Arial"/>
            <family val="2"/>
          </rPr>
          <t xml:space="preserve">Site rule from CALOR → Alarms → Settings (soakMin 30 min); confirm against WI-HT-02 / the furnace manual.</t>
        </r>
      </text>
    </comment>
    <comment ref="C12" authorId="0">
      <text>
        <r>
          <rPr>
            <sz val="10"/>
            <rFont val="Arial"/>
            <family val="2"/>
          </rPr>
          <t xml:space="preserve">Site rule from CALOR → Alarms → Settings (firstHrs 8 h).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0" authorId="0">
      <text>
        <r>
          <rPr>
            <sz val="10"/>
            <rFont val="Arial"/>
            <family val="2"/>
          </rPr>
          <t xml:space="preserve">CALOR default ±10 °C.</t>
        </r>
      </text>
    </comment>
  </commentList>
</comments>
</file>

<file path=xl/sharedStrings.xml><?xml version="1.0" encoding="utf-8"?>
<sst xmlns="http://schemas.openxmlformats.org/spreadsheetml/2006/main" count="547" uniqueCount="176">
  <si>
    <t xml:space="preserve">Furnace start-up and shutdown checksheets</t>
  </si>
  <si>
    <t xml:space="preserve">Mass Wire and Steels Pvt. Ltd. · Bhiwadi · pusher furnaces F-01 … F-04</t>
  </si>
  <si>
    <t xml:space="preserve">Sheets</t>
  </si>
  <si>
    <t xml:space="preserve">Start-up – form F-HT-02A: one sheet per start-up (cold start, restart after power failure, maintenance, an alarm stop or a holiday).</t>
  </si>
  <si>
    <t xml:space="preserve">Shutdown – form F-HT-03A: one sheet per shutdown (planned, maintenance, holiday, emergency, breakdown).</t>
  </si>
  <si>
    <t xml:space="preserve">Example start-up / Example shutdown – the same forms filled in for F-02, to show the expected entries.</t>
  </si>
  <si>
    <t xml:space="preserve">How to fill in</t>
  </si>
  <si>
    <t xml:space="preserve">• Fill only the yellow cells. Grey cells are calculated; dark-blue headings and labels are fixed.</t>
  </si>
  <si>
    <t xml:space="preserve">• Choose the furnace first: items for another furnace (water quench F-01, oil quench F-02) then show grey and 'N/A for F-0x' in the Applicable column. F-03 and F-04 have no quench tank.</t>
  </si>
  <si>
    <t xml:space="preserve">• Result: choose OK, Not OK or N/A from the list. Write the value or reference where the item asks for one (gas pressure, quench temperature, specification no., test no.).</t>
  </si>
  <si>
    <t xml:space="preserve">• Critical = Yes: a Not OK result stops the release (start-up) or makes the shutdown unsafe; start a reaction plan on the CALOR Alarms page.</t>
  </si>
  <si>
    <t xml:space="preserve">• Times: type date and time as 21-10-2026 14:30. The soak (zones in tolerance → first tray) and the first-off test delay are calculated.</t>
  </si>
  <si>
    <t xml:space="preserve">• Zone readings: the set value and both wall thermocouples of every zone when the furnace is declared ready; each must be within the tolerance in Settings.</t>
  </si>
  <si>
    <t xml:space="preserve">• To use a sheet again, copy it (right-click the tab → Move or Copy → Create a copy) and clear the yellow cells, or print it blank and fill in by hand.</t>
  </si>
  <si>
    <t xml:space="preserve">Settings and where the items come from</t>
  </si>
  <si>
    <t xml:space="preserve">• Tolerance ±10 °C, minimum soak 30 min and first-off test within 8 h are the CALOR defaults (site rules, not CQI-9 figures). Change them in the blue Settings cells to your work instructions.</t>
  </si>
  <si>
    <t xml:space="preserve">• The check items are the start-up / shut-down checklists of CALOR (Process → Alarms) adapted to this plant: controlled cooling chamber on every furnace, F-01 water quench, F-02 oil quench, quench agitation checked by eye (not monitored), HK trays max. 200 kg.</t>
  </si>
  <si>
    <t xml:space="preserve">• Confirm the items against the furnace manufacturer's manual and the burner management / gas safety rules before use, and keep the form under document control (WI-HT-02 start-up, WI-HT-03 shut-down).</t>
  </si>
  <si>
    <t xml:space="preserve">• CQI-9 HTSA 1.15 asks for documented start-up and shut-down procedures; these forms are the records of following them. Enter each start-up / shutdown also in CALOR (Process → Alarms) so the Data review (1.9) and product traceability see it.</t>
  </si>
  <si>
    <t xml:space="preserve">Fill-in cell (yellow)</t>
  </si>
  <si>
    <t xml:space="preserve">Calculated cell (grey)</t>
  </si>
  <si>
    <t xml:space="preserve">Mass Wire and Steels Pvt. Ltd. · Bhiwadi · Heat treatment</t>
  </si>
  <si>
    <t xml:space="preserve">Furnace start-up checksheet</t>
  </si>
  <si>
    <t xml:space="preserve">Form F-HT-02A · Rev 0</t>
  </si>
  <si>
    <t xml:space="preserve">Ref.: WI-HT-02 Start-up</t>
  </si>
  <si>
    <t xml:space="preserve">Furnace</t>
  </si>
  <si>
    <t xml:space="preserve">Date</t>
  </si>
  <si>
    <t xml:space="preserve">Shift</t>
  </si>
  <si>
    <t xml:space="preserve">Type of start-up</t>
  </si>
  <si>
    <t xml:space="preserve">Reason</t>
  </si>
  <si>
    <t xml:space="preserve">Settings</t>
  </si>
  <si>
    <t xml:space="preserve">Temperature tolerance ± °C</t>
  </si>
  <si>
    <t xml:space="preserve">Minimum soak before the first tray (min)</t>
  </si>
  <si>
    <t xml:space="preserve">First-off hardness test within (h)</t>
  </si>
  <si>
    <t xml:space="preserve">No.</t>
  </si>
  <si>
    <t xml:space="preserve">Check item</t>
  </si>
  <si>
    <t xml:space="preserve">Critical</t>
  </si>
  <si>
    <t xml:space="preserve">Applies to</t>
  </si>
  <si>
    <t xml:space="preserve">Result</t>
  </si>
  <si>
    <t xml:space="preserve">Value / reference</t>
  </si>
  <si>
    <t xml:space="preserve">Checked by</t>
  </si>
  <si>
    <t xml:space="preserve">Time</t>
  </si>
  <si>
    <t xml:space="preserve">Applicable</t>
  </si>
  <si>
    <t xml:space="preserve">A. Before ignition</t>
  </si>
  <si>
    <t xml:space="preserve">Maintenance work closed, permits returned, guards and covers fitted</t>
  </si>
  <si>
    <t xml:space="preserve">Yes</t>
  </si>
  <si>
    <t xml:space="preserve">All</t>
  </si>
  <si>
    <t xml:space="preserve">Gas supply pressure checked (record the value, mbar)  [mbar]</t>
  </si>
  <si>
    <t xml:space="preserve">Combustion air blower running; burner safety interlocks and flame detectors tested</t>
  </si>
  <si>
    <t xml:space="preserve">Furnace purged before ignition by the burner management sequence</t>
  </si>
  <si>
    <t xml:space="preserve">Control thermocouples TC-01 … TC-06 connected in both chambers; both walls of every zone read plausibly (odd = right wall, even = left wall)</t>
  </si>
  <si>
    <t xml:space="preserve">SAT of the control thermocouples in date (CALOR → Pyrometry → SAT)</t>
  </si>
  <si>
    <t xml:space="preserve">Over-temperature protection set and active</t>
  </si>
  <si>
    <t xml:space="preserve">SCADA recording running and its clock correct</t>
  </si>
  <si>
    <t xml:space="preserve">B. Equipment</t>
  </si>
  <si>
    <t xml:space="preserve">Pusher, extractor, doors and rail transfer tested empty</t>
  </si>
  <si>
    <t xml:space="preserve">No</t>
  </si>
  <si>
    <t xml:space="preserve">Controlled cooling chamber: air blower, rail transfer in / out and cooling timer working</t>
  </si>
  <si>
    <t xml:space="preserve">Quench tank (water): level within the marks, water temperature within the limit, agitation running (checked by eye: agitation is not monitored)  [°C]</t>
  </si>
  <si>
    <t xml:space="preserve">F-01</t>
  </si>
  <si>
    <t xml:space="preserve">Quench tank (oil): level within the marks, oil temperature 50–80 °C, agitation and oil cooler running (checked by eye), no water / crackle test as scheduled  [°C]</t>
  </si>
  <si>
    <t xml:space="preserve">F-02</t>
  </si>
  <si>
    <t xml:space="preserve">Exhaust / flue draught and door curtains working</t>
  </si>
  <si>
    <t xml:space="preserve">Trays for the first batches inspected: HK trays without cracks or distortion; load per tray not above 200 kg</t>
  </si>
  <si>
    <t xml:space="preserve">C. Heat-up and release</t>
  </si>
  <si>
    <t xml:space="preserve">Heat-up rate of the furnace manual followed (refractory)</t>
  </si>
  <si>
    <t xml:space="preserve">Set values entered from the process specification in force for the first part (record the specification no.)  [Spec no.]</t>
  </si>
  <si>
    <t xml:space="preserve">All zones within tolerance and soaked before the first tray (times and zone readings below)</t>
  </si>
  <si>
    <t xml:space="preserve">First-off hardness test of the first batch done within the time below (record the test no.)  [Test no.]</t>
  </si>
  <si>
    <t xml:space="preserve">Start-up recorded in CALOR → Process → Alarms (start-up record)</t>
  </si>
  <si>
    <t xml:space="preserve">Heat-up, soak and first tray</t>
  </si>
  <si>
    <t xml:space="preserve">Burners lit (heat-up started)</t>
  </si>
  <si>
    <t xml:space="preserve">All zones within tolerance (both chambers)</t>
  </si>
  <si>
    <t xml:space="preserve">First tray pushed in</t>
  </si>
  <si>
    <t xml:space="preserve">First-off hardness test done</t>
  </si>
  <si>
    <t xml:space="preserve">Soak before the first tray (min)</t>
  </si>
  <si>
    <t xml:space="preserve">First-off test after the first tray (h)</t>
  </si>
  <si>
    <t xml:space="preserve">Zone readings when declared ready (°C) – right wall = odd TC, left wall = even TC</t>
  </si>
  <si>
    <t xml:space="preserve">Chamber / zone</t>
  </si>
  <si>
    <t xml:space="preserve">Set value</t>
  </si>
  <si>
    <t xml:space="preserve">TC right</t>
  </si>
  <si>
    <t xml:space="preserve">TC left</t>
  </si>
  <si>
    <t xml:space="preserve">Deviation right</t>
  </si>
  <si>
    <t xml:space="preserve">Deviation left</t>
  </si>
  <si>
    <t xml:space="preserve">Hardening zone 1  (TC-01 right / TC-02 left)</t>
  </si>
  <si>
    <t xml:space="preserve">Hardening zone 2  (TC-03 right / TC-04 left)</t>
  </si>
  <si>
    <t xml:space="preserve">Hardening zone 3  (TC-05 right / TC-06 left)</t>
  </si>
  <si>
    <t xml:space="preserve">Tempering zone 1  (TC-01 right / TC-02 left)</t>
  </si>
  <si>
    <t xml:space="preserve">Tempering zone 2  (TC-03 right / TC-04 left)</t>
  </si>
  <si>
    <t xml:space="preserve">Tempering zone 3  (TC-05 right / TC-06 left)</t>
  </si>
  <si>
    <t xml:space="preserve">Summary (calculated)</t>
  </si>
  <si>
    <t xml:space="preserve">Check items that apply to this furnace</t>
  </si>
  <si>
    <t xml:space="preserve">Answered (OK / Not OK / N/A)</t>
  </si>
  <si>
    <t xml:space="preserve">Critical items Not OK</t>
  </si>
  <si>
    <t xml:space="preserve">Other items Not OK</t>
  </si>
  <si>
    <t xml:space="preserve">Critical items not answered</t>
  </si>
  <si>
    <t xml:space="preserve">Zones out of tolerance when declared ready</t>
  </si>
  <si>
    <t xml:space="preserve">Zones without readings</t>
  </si>
  <si>
    <t xml:space="preserve">RESULT</t>
  </si>
  <si>
    <t xml:space="preserve">Remarks / Not OK items: action taken</t>
  </si>
  <si>
    <t xml:space="preserve">Sign-off</t>
  </si>
  <si>
    <t xml:space="preserve">Name</t>
  </si>
  <si>
    <t xml:space="preserve">Signature</t>
  </si>
  <si>
    <t xml:space="preserve">Date / time</t>
  </si>
  <si>
    <t xml:space="preserve">Furnace operator</t>
  </si>
  <si>
    <t xml:space="preserve">Shift supervisor</t>
  </si>
  <si>
    <t xml:space="preserve">HT Manager (release)</t>
  </si>
  <si>
    <t xml:space="preserve">Furnace shutdown checksheet</t>
  </si>
  <si>
    <t xml:space="preserve">Form F-HT-03A · Rev 0</t>
  </si>
  <si>
    <t xml:space="preserve">Ref.: WI-HT-03 Shut-down</t>
  </si>
  <si>
    <t xml:space="preserve">Type of shutdown</t>
  </si>
  <si>
    <t xml:space="preserve">A. Before stopping</t>
  </si>
  <si>
    <t xml:space="preserve">Production stop agreed and the reason recorded above</t>
  </si>
  <si>
    <t xml:space="preserve">Last batch identified in the daily production report (part, batch, last tray no.)  [Last tray no.]</t>
  </si>
  <si>
    <t xml:space="preserve">Loading stopped; empty trays pushed to run the line out</t>
  </si>
  <si>
    <t xml:space="preserve">Line emptied of product, or the product left inside recorded below</t>
  </si>
  <si>
    <t xml:space="preserve">B. Stopping</t>
  </si>
  <si>
    <t xml:space="preserve">Burners shut down by the burner management sequence</t>
  </si>
  <si>
    <t xml:space="preserve">Gas isolation valves closed (and locked where required)</t>
  </si>
  <si>
    <t xml:space="preserve">Combustion air / exhaust left running as the furnace manual requires</t>
  </si>
  <si>
    <t xml:space="preserve">Controlled cooling chamber empty; air blower off</t>
  </si>
  <si>
    <t xml:space="preserve">Quench tank (water): tank covered, circulation as the procedure requires</t>
  </si>
  <si>
    <t xml:space="preserve">Quench tank (oil): circulation and cooling as the procedure requires, tank covered (fire risk)</t>
  </si>
  <si>
    <t xml:space="preserve">Doors closed; pusher, extractor and rail transfer in a safe position</t>
  </si>
  <si>
    <t xml:space="preserve">SCADA recording kept running until the burners were off</t>
  </si>
  <si>
    <t xml:space="preserve">C. After stopping</t>
  </si>
  <si>
    <t xml:space="preserve">Hearths, rails and tray positions checked for fallen parts once cool enough (trap points)</t>
  </si>
  <si>
    <t xml:space="preserve">Shutdown recorded in CALOR → Process → Alarms; handover note to maintenance / the next shift</t>
  </si>
  <si>
    <t xml:space="preserve">Times and product left in the furnace</t>
  </si>
  <si>
    <t xml:space="preserve">Loading stopped (last tray with product pushed in)</t>
  </si>
  <si>
    <t xml:space="preserve">Last tray with product out of the tempering chamber</t>
  </si>
  <si>
    <t xml:space="preserve">Burners off</t>
  </si>
  <si>
    <t xml:space="preserve">Gas isolated</t>
  </si>
  <si>
    <t xml:space="preserve">Product left inside</t>
  </si>
  <si>
    <t xml:space="preserve">Trays</t>
  </si>
  <si>
    <t xml:space="preserve">Part / batch no.</t>
  </si>
  <si>
    <t xml:space="preserve">Disposition / reaction</t>
  </si>
  <si>
    <t xml:space="preserve">Hardening chamber (13 positions)</t>
  </si>
  <si>
    <t xml:space="preserve">Controlled cooling chamber (1)</t>
  </si>
  <si>
    <t xml:space="preserve">Tempering chamber (12 positions)</t>
  </si>
  <si>
    <t xml:space="preserve">Trays with product left inside, total</t>
  </si>
  <si>
    <t xml:space="preserve">Product left inside: disposition recorded?</t>
  </si>
  <si>
    <t xml:space="preserve">HT Manager / Maintenance (handover)</t>
  </si>
  <si>
    <t xml:space="preserve">A (06:00-14:00)</t>
  </si>
  <si>
    <t xml:space="preserve">Restart after maintenance</t>
  </si>
  <si>
    <t xml:space="preserve">Burner 2R nozzle replaced (maintenance order MO-2231)</t>
  </si>
  <si>
    <t xml:space="preserve">OK</t>
  </si>
  <si>
    <t xml:space="preserve">MO-2231 closed</t>
  </si>
  <si>
    <t xml:space="preserve">R. Kumar</t>
  </si>
  <si>
    <t xml:space="preserve">42 mbar</t>
  </si>
  <si>
    <t xml:space="preserve">SAT due 02-Dec-2026</t>
  </si>
  <si>
    <t xml:space="preserve">S. Yadav</t>
  </si>
  <si>
    <t xml:space="preserve">N/A</t>
  </si>
  <si>
    <t xml:space="preserve">62 °C</t>
  </si>
  <si>
    <t xml:space="preserve">Not OK</t>
  </si>
  <si>
    <t xml:space="preserve">Tray T2-11 cracked</t>
  </si>
  <si>
    <t xml:space="preserve">PS-0001 rev 1</t>
  </si>
  <si>
    <t xml:space="preserve">MT-0021</t>
  </si>
  <si>
    <t xml:space="preserve">A. Meena</t>
  </si>
  <si>
    <t xml:space="preserve">OP-0012</t>
  </si>
  <si>
    <t xml:space="preserve">Item 14: tray T2-11 cracked at a corner node – taken out, quarantined, inspection recorded in CALOR → Load build. Not critical: start-up released.</t>
  </si>
  <si>
    <t xml:space="preserve">V. Singh</t>
  </si>
  <si>
    <t xml:space="preserve">C (22:00-06:00)</t>
  </si>
  <si>
    <t xml:space="preserve">Holiday / weekend</t>
  </si>
  <si>
    <t xml:space="preserve">Diwali shutdown, 2 days (no orders)</t>
  </si>
  <si>
    <t xml:space="preserve">Plan from Production Manager</t>
  </si>
  <si>
    <t xml:space="preserve">Tray 58 (MW-4512 F2-2610-09)</t>
  </si>
  <si>
    <t xml:space="preserve">25 empty trays</t>
  </si>
  <si>
    <t xml:space="preserve">Line empty</t>
  </si>
  <si>
    <t xml:space="preserve">Locked, tag 14</t>
  </si>
  <si>
    <t xml:space="preserve">Cooler off, cover on</t>
  </si>
  <si>
    <t xml:space="preserve">No parts found</t>
  </si>
  <si>
    <t xml:space="preserve">Maintenance fitter</t>
  </si>
  <si>
    <t xml:space="preserve">OP-0015</t>
  </si>
  <si>
    <t xml:space="preserve">Line run out with empty trays before stopping; no product left inside.</t>
  </si>
  <si>
    <t xml:space="preserve">Maintenance Head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</si>
</sst>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hh:mm"/>
    <numFmt numFmtId="167" formatCode="dd\-mmm\-yyyy\ hh:mm"/>
    <numFmt numFmtId="168" formatCode="0"/>
    <numFmt numFmtId="169" formatCode="\+0;\-0;0"/>
    <numFmt numFmtId="170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6C8"/>
        <bgColor rgb="FFFCE8C3"/>
      </patternFill>
    </fill>
    <fill>
      <patternFill patternType="solid">
        <fgColor rgb="FFF2F4F4"/>
        <bgColor rgb="FFFFFFFF"/>
      </patternFill>
    </fill>
    <fill>
      <patternFill patternType="solid">
        <fgColor rgb="FF1F4E5A"/>
        <bgColor rgb="FF1B5E20"/>
      </patternFill>
    </fill>
    <fill>
      <patternFill patternType="solid">
        <fgColor rgb="FFDCE6E8"/>
        <bgColor rgb="FFE6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A9AA0"/>
      </left>
      <right style="thin">
        <color rgb="FF8A9AA0"/>
      </right>
      <top style="thin">
        <color rgb="FF8A9AA0"/>
      </top>
      <bottom style="thin">
        <color rgb="FF8A9A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name val="Arial"/>
        <charset val="1"/>
        <family val="0"/>
        <b val="1"/>
        <color rgb="FF9C0006"/>
      </font>
      <fill>
        <patternFill>
          <bgColor rgb="FFF8D2D2"/>
        </patternFill>
      </fill>
    </dxf>
    <dxf>
      <font>
        <name val="Arial"/>
        <charset val="1"/>
        <family val="0"/>
        <color rgb="FF808080"/>
      </font>
      <fill>
        <patternFill>
          <bgColor rgb="FFE6E6E6"/>
        </patternFill>
      </fill>
    </dxf>
    <dxf>
      <font>
        <name val="Arial"/>
        <charset val="1"/>
        <family val="0"/>
        <b val="1"/>
        <color rgb="FF1B5E20"/>
      </font>
      <fill>
        <patternFill>
          <bgColor rgb="FFD5EFD9"/>
        </patternFill>
      </fill>
    </dxf>
    <dxf>
      <font>
        <name val="Arial"/>
        <charset val="1"/>
        <family val="0"/>
        <b val="1"/>
        <color rgb="FF7A4A00"/>
      </font>
      <fill>
        <patternFill>
          <bgColor rgb="FFFCE8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B5E20"/>
      <rgbColor rgb="FF000080"/>
      <rgbColor rgb="FF808000"/>
      <rgbColor rgb="FF800080"/>
      <rgbColor rgb="FF008080"/>
      <rgbColor rgb="FFC0C0C0"/>
      <rgbColor rgb="FF808080"/>
      <rgbColor rgb="FF9AA5A8"/>
      <rgbColor rgb="FF993366"/>
      <rgbColor rgb="FFFFF6C8"/>
      <rgbColor rgb="FFDCE6E8"/>
      <rgbColor rgb="FF660066"/>
      <rgbColor rgb="FFFF8080"/>
      <rgbColor rgb="FF0066CC"/>
      <rgbColor rgb="FFE6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4F4"/>
      <rgbColor rgb="FFD5EFD9"/>
      <rgbColor rgb="FFFCE8C3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55555"/>
      <rgbColor rgb="FF8A9AA0"/>
      <rgbColor rgb="FF003366"/>
      <rgbColor rgb="FF339966"/>
      <rgbColor rgb="FF003300"/>
      <rgbColor rgb="FF333300"/>
      <rgbColor rgb="FF7A4A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1" customFormat="false" ht="18.5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3" customFormat="false" ht="15" hidden="false" customHeight="false" outlineLevel="0" collapsed="false">
      <c r="B3" s="3"/>
    </row>
    <row r="4" customFormat="false" ht="15" hidden="false" customHeight="false" outlineLevel="0" collapsed="false">
      <c r="B4" s="4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/>
    </row>
    <row r="9" customFormat="false" ht="1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3" t="s">
        <v>7</v>
      </c>
    </row>
    <row r="11" customFormat="false" ht="23.85" hidden="false" customHeight="false" outlineLevel="0" collapsed="false">
      <c r="B11" s="3" t="s">
        <v>8</v>
      </c>
    </row>
    <row r="12" customFormat="false" ht="23.85" hidden="false" customHeight="false" outlineLevel="0" collapsed="false">
      <c r="B12" s="3" t="s">
        <v>9</v>
      </c>
    </row>
    <row r="13" customFormat="false" ht="23.8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5" customFormat="false" ht="23.85" hidden="false" customHeight="false" outlineLevel="0" collapsed="false">
      <c r="B15" s="3" t="s">
        <v>12</v>
      </c>
    </row>
    <row r="16" customFormat="false" ht="23.85" hidden="false" customHeight="false" outlineLevel="0" collapsed="false">
      <c r="B16" s="3" t="s">
        <v>13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14</v>
      </c>
    </row>
    <row r="19" customFormat="false" ht="23.85" hidden="false" customHeight="false" outlineLevel="0" collapsed="false">
      <c r="B19" s="3" t="s">
        <v>15</v>
      </c>
    </row>
    <row r="20" customFormat="false" ht="23.85" hidden="false" customHeight="false" outlineLevel="0" collapsed="false">
      <c r="B20" s="3" t="s">
        <v>16</v>
      </c>
    </row>
    <row r="21" customFormat="false" ht="23.85" hidden="false" customHeight="false" outlineLevel="0" collapsed="false">
      <c r="B21" s="3" t="s">
        <v>17</v>
      </c>
    </row>
    <row r="22" customFormat="false" ht="23.85" hidden="false" customHeight="false" outlineLevel="0" collapsed="false">
      <c r="B22" s="3" t="s">
        <v>18</v>
      </c>
    </row>
    <row r="24" customFormat="false" ht="15" hidden="false" customHeight="false" outlineLevel="0" collapsed="false">
      <c r="B24" s="5" t="s">
        <v>19</v>
      </c>
    </row>
    <row r="25" customFormat="false" ht="15" hidden="false" customHeight="false" outlineLevel="0" collapsed="false">
      <c r="B25" s="6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tru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</row>
    <row r="2" customFormat="false" ht="18" hidden="false" customHeight="true" outlineLevel="0" collapsed="false">
      <c r="A2" s="8" t="s">
        <v>22</v>
      </c>
      <c r="B2" s="8"/>
      <c r="C2" s="8"/>
      <c r="D2" s="8"/>
      <c r="E2" s="8"/>
      <c r="F2" s="8"/>
      <c r="G2" s="9" t="s">
        <v>23</v>
      </c>
      <c r="H2" s="9"/>
    </row>
    <row r="3" customFormat="false" ht="18" hidden="false" customHeight="true" outlineLevel="0" collapsed="false">
      <c r="A3" s="8"/>
      <c r="B3" s="8"/>
      <c r="C3" s="8"/>
      <c r="D3" s="8"/>
      <c r="E3" s="8"/>
      <c r="F3" s="8"/>
      <c r="G3" s="9" t="s">
        <v>24</v>
      </c>
      <c r="H3" s="9"/>
    </row>
    <row r="5" customFormat="false" ht="15" hidden="false" customHeight="false" outlineLevel="0" collapsed="false">
      <c r="A5" s="10"/>
      <c r="B5" s="11" t="s">
        <v>25</v>
      </c>
      <c r="C5" s="12"/>
      <c r="D5" s="12"/>
      <c r="E5" s="12"/>
      <c r="F5" s="11" t="s">
        <v>26</v>
      </c>
      <c r="G5" s="13"/>
      <c r="H5" s="13"/>
    </row>
    <row r="6" customFormat="false" ht="15" hidden="false" customHeight="false" outlineLevel="0" collapsed="false">
      <c r="A6" s="10"/>
      <c r="B6" s="11" t="s">
        <v>27</v>
      </c>
      <c r="C6" s="12"/>
      <c r="D6" s="12"/>
      <c r="E6" s="12"/>
      <c r="F6" s="11" t="s">
        <v>28</v>
      </c>
      <c r="G6" s="12"/>
      <c r="H6" s="12"/>
    </row>
    <row r="7" customFormat="false" ht="15" hidden="false" customHeight="false" outlineLevel="0" collapsed="false">
      <c r="A7" s="10"/>
      <c r="B7" s="11" t="s">
        <v>29</v>
      </c>
      <c r="C7" s="12"/>
      <c r="D7" s="12"/>
      <c r="E7" s="12"/>
      <c r="F7" s="12"/>
      <c r="G7" s="12"/>
      <c r="H7" s="12"/>
    </row>
    <row r="9" customFormat="false" ht="15" hidden="false" customHeight="true" outlineLevel="0" collapsed="false">
      <c r="A9" s="11" t="s">
        <v>30</v>
      </c>
      <c r="B9" s="11"/>
    </row>
    <row r="10" customFormat="false" ht="15" hidden="false" customHeight="true" outlineLevel="0" collapsed="false">
      <c r="A10" s="9" t="s">
        <v>31</v>
      </c>
      <c r="B10" s="9"/>
      <c r="C10" s="14" t="n">
        <v>10</v>
      </c>
    </row>
    <row r="11" customFormat="false" ht="15" hidden="false" customHeight="true" outlineLevel="0" collapsed="false">
      <c r="A11" s="9" t="s">
        <v>32</v>
      </c>
      <c r="B11" s="9"/>
      <c r="C11" s="14" t="n">
        <v>30</v>
      </c>
    </row>
    <row r="12" customFormat="false" ht="15" hidden="false" customHeight="true" outlineLevel="0" collapsed="false">
      <c r="A12" s="9" t="s">
        <v>33</v>
      </c>
      <c r="B12" s="9"/>
      <c r="C12" s="14" t="n">
        <v>8</v>
      </c>
    </row>
    <row r="14" customFormat="false" ht="27.75" hidden="false" customHeight="true" outlineLevel="0" collapsed="false">
      <c r="A14" s="15" t="s">
        <v>34</v>
      </c>
      <c r="B14" s="15" t="s">
        <v>35</v>
      </c>
      <c r="C14" s="15" t="s">
        <v>36</v>
      </c>
      <c r="D14" s="15" t="s">
        <v>37</v>
      </c>
      <c r="E14" s="15" t="s">
        <v>38</v>
      </c>
      <c r="F14" s="15" t="s">
        <v>39</v>
      </c>
      <c r="G14" s="15" t="s">
        <v>40</v>
      </c>
      <c r="H14" s="15" t="s">
        <v>41</v>
      </c>
      <c r="I14" s="15" t="s">
        <v>42</v>
      </c>
    </row>
    <row r="15" customFormat="false" ht="15" hidden="false" customHeight="true" outlineLevel="0" collapsed="false">
      <c r="A15" s="16" t="s">
        <v>43</v>
      </c>
      <c r="B15" s="16"/>
      <c r="C15" s="16"/>
      <c r="D15" s="16"/>
      <c r="E15" s="16"/>
      <c r="F15" s="16"/>
      <c r="G15" s="16"/>
      <c r="H15" s="16"/>
      <c r="I15" s="16"/>
    </row>
    <row r="16" customFormat="false" ht="30" hidden="false" customHeight="true" outlineLevel="0" collapsed="false">
      <c r="A16" s="17" t="n">
        <v>1</v>
      </c>
      <c r="B16" s="18" t="s">
        <v>44</v>
      </c>
      <c r="C16" s="19" t="s">
        <v>45</v>
      </c>
      <c r="D16" s="17" t="s">
        <v>46</v>
      </c>
      <c r="E16" s="20"/>
      <c r="F16" s="21"/>
      <c r="G16" s="21"/>
      <c r="H16" s="22"/>
      <c r="I16" s="23" t="str">
        <f aca="false">IF(D16="All","Yes",IF($C$5="","Yes",IF(D16=$C$5,"Yes","No – N/A for "&amp;$C$5)))</f>
        <v>Yes</v>
      </c>
    </row>
    <row r="17" customFormat="false" ht="30" hidden="false" customHeight="true" outlineLevel="0" collapsed="false">
      <c r="A17" s="17" t="n">
        <v>2</v>
      </c>
      <c r="B17" s="18" t="s">
        <v>47</v>
      </c>
      <c r="C17" s="19" t="s">
        <v>45</v>
      </c>
      <c r="D17" s="17" t="s">
        <v>46</v>
      </c>
      <c r="E17" s="20"/>
      <c r="F17" s="21"/>
      <c r="G17" s="21"/>
      <c r="H17" s="22"/>
      <c r="I17" s="23" t="str">
        <f aca="false">IF(D17="All","Yes",IF($C$5="","Yes",IF(D17=$C$5,"Yes","No – N/A for "&amp;$C$5)))</f>
        <v>Yes</v>
      </c>
    </row>
    <row r="18" customFormat="false" ht="42" hidden="false" customHeight="true" outlineLevel="0" collapsed="false">
      <c r="A18" s="17" t="n">
        <v>3</v>
      </c>
      <c r="B18" s="18" t="s">
        <v>48</v>
      </c>
      <c r="C18" s="19" t="s">
        <v>45</v>
      </c>
      <c r="D18" s="17" t="s">
        <v>46</v>
      </c>
      <c r="E18" s="20"/>
      <c r="F18" s="21"/>
      <c r="G18" s="21"/>
      <c r="H18" s="22"/>
      <c r="I18" s="23" t="str">
        <f aca="false">IF(D18="All","Yes",IF($C$5="","Yes",IF(D18=$C$5,"Yes","No – N/A for "&amp;$C$5)))</f>
        <v>Yes</v>
      </c>
    </row>
    <row r="19" customFormat="false" ht="30" hidden="false" customHeight="true" outlineLevel="0" collapsed="false">
      <c r="A19" s="17" t="n">
        <v>4</v>
      </c>
      <c r="B19" s="18" t="s">
        <v>49</v>
      </c>
      <c r="C19" s="19" t="s">
        <v>45</v>
      </c>
      <c r="D19" s="17" t="s">
        <v>46</v>
      </c>
      <c r="E19" s="20"/>
      <c r="F19" s="21"/>
      <c r="G19" s="21"/>
      <c r="H19" s="22"/>
      <c r="I19" s="23" t="str">
        <f aca="false">IF(D19="All","Yes",IF($C$5="","Yes",IF(D19=$C$5,"Yes","No – N/A for "&amp;$C$5)))</f>
        <v>Yes</v>
      </c>
    </row>
    <row r="20" customFormat="false" ht="42" hidden="false" customHeight="true" outlineLevel="0" collapsed="false">
      <c r="A20" s="17" t="n">
        <v>5</v>
      </c>
      <c r="B20" s="18" t="s">
        <v>50</v>
      </c>
      <c r="C20" s="19" t="s">
        <v>45</v>
      </c>
      <c r="D20" s="17" t="s">
        <v>46</v>
      </c>
      <c r="E20" s="20"/>
      <c r="F20" s="21"/>
      <c r="G20" s="21"/>
      <c r="H20" s="22"/>
      <c r="I20" s="23" t="str">
        <f aca="false">IF(D20="All","Yes",IF($C$5="","Yes",IF(D20=$C$5,"Yes","No – N/A for "&amp;$C$5)))</f>
        <v>Yes</v>
      </c>
    </row>
    <row r="21" customFormat="false" ht="30" hidden="false" customHeight="true" outlineLevel="0" collapsed="false">
      <c r="A21" s="17" t="n">
        <v>6</v>
      </c>
      <c r="B21" s="18" t="s">
        <v>51</v>
      </c>
      <c r="C21" s="19" t="s">
        <v>45</v>
      </c>
      <c r="D21" s="17" t="s">
        <v>46</v>
      </c>
      <c r="E21" s="20"/>
      <c r="F21" s="21"/>
      <c r="G21" s="21"/>
      <c r="H21" s="22"/>
      <c r="I21" s="23" t="str">
        <f aca="false">IF(D21="All","Yes",IF($C$5="","Yes",IF(D21=$C$5,"Yes","No – N/A for "&amp;$C$5)))</f>
        <v>Yes</v>
      </c>
    </row>
    <row r="22" customFormat="false" ht="30" hidden="false" customHeight="true" outlineLevel="0" collapsed="false">
      <c r="A22" s="17" t="n">
        <v>7</v>
      </c>
      <c r="B22" s="18" t="s">
        <v>52</v>
      </c>
      <c r="C22" s="19" t="s">
        <v>45</v>
      </c>
      <c r="D22" s="17" t="s">
        <v>46</v>
      </c>
      <c r="E22" s="20"/>
      <c r="F22" s="21"/>
      <c r="G22" s="21"/>
      <c r="H22" s="22"/>
      <c r="I22" s="23" t="str">
        <f aca="false">IF(D22="All","Yes",IF($C$5="","Yes",IF(D22=$C$5,"Yes","No – N/A for "&amp;$C$5)))</f>
        <v>Yes</v>
      </c>
    </row>
    <row r="23" customFormat="false" ht="30" hidden="false" customHeight="true" outlineLevel="0" collapsed="false">
      <c r="A23" s="17" t="n">
        <v>8</v>
      </c>
      <c r="B23" s="18" t="s">
        <v>53</v>
      </c>
      <c r="C23" s="19" t="s">
        <v>45</v>
      </c>
      <c r="D23" s="17" t="s">
        <v>46</v>
      </c>
      <c r="E23" s="20"/>
      <c r="F23" s="21"/>
      <c r="G23" s="21"/>
      <c r="H23" s="22"/>
      <c r="I23" s="23" t="str">
        <f aca="false">IF(D23="All","Yes",IF($C$5="","Yes",IF(D23=$C$5,"Yes","No – N/A for "&amp;$C$5)))</f>
        <v>Yes</v>
      </c>
    </row>
    <row r="24" customFormat="false" ht="15" hidden="false" customHeight="true" outlineLevel="0" collapsed="false">
      <c r="A24" s="16" t="s">
        <v>54</v>
      </c>
      <c r="B24" s="16"/>
      <c r="C24" s="16"/>
      <c r="D24" s="16"/>
      <c r="E24" s="16"/>
      <c r="F24" s="16"/>
      <c r="G24" s="16"/>
      <c r="H24" s="16"/>
      <c r="I24" s="16"/>
    </row>
    <row r="25" customFormat="false" ht="30" hidden="false" customHeight="true" outlineLevel="0" collapsed="false">
      <c r="A25" s="17" t="n">
        <v>9</v>
      </c>
      <c r="B25" s="18" t="s">
        <v>55</v>
      </c>
      <c r="C25" s="17" t="s">
        <v>56</v>
      </c>
      <c r="D25" s="17" t="s">
        <v>46</v>
      </c>
      <c r="E25" s="20"/>
      <c r="F25" s="21"/>
      <c r="G25" s="21"/>
      <c r="H25" s="22"/>
      <c r="I25" s="23" t="str">
        <f aca="false">IF(D25="All","Yes",IF($C$5="","Yes",IF(D25=$C$5,"Yes","No – N/A for "&amp;$C$5)))</f>
        <v>Yes</v>
      </c>
    </row>
    <row r="26" customFormat="false" ht="42" hidden="false" customHeight="true" outlineLevel="0" collapsed="false">
      <c r="A26" s="17" t="n">
        <v>10</v>
      </c>
      <c r="B26" s="18" t="s">
        <v>57</v>
      </c>
      <c r="C26" s="17" t="s">
        <v>56</v>
      </c>
      <c r="D26" s="17" t="s">
        <v>46</v>
      </c>
      <c r="E26" s="20"/>
      <c r="F26" s="21"/>
      <c r="G26" s="21"/>
      <c r="H26" s="22"/>
      <c r="I26" s="23" t="str">
        <f aca="false">IF(D26="All","Yes",IF($C$5="","Yes",IF(D26=$C$5,"Yes","No – N/A for "&amp;$C$5)))</f>
        <v>Yes</v>
      </c>
    </row>
    <row r="27" customFormat="false" ht="42" hidden="false" customHeight="true" outlineLevel="0" collapsed="false">
      <c r="A27" s="17" t="n">
        <v>11</v>
      </c>
      <c r="B27" s="18" t="s">
        <v>58</v>
      </c>
      <c r="C27" s="19" t="s">
        <v>45</v>
      </c>
      <c r="D27" s="17" t="s">
        <v>59</v>
      </c>
      <c r="E27" s="20"/>
      <c r="F27" s="21"/>
      <c r="G27" s="21"/>
      <c r="H27" s="22"/>
      <c r="I27" s="23" t="str">
        <f aca="false">IF(D27="All","Yes",IF($C$5="","Yes",IF(D27=$C$5,"Yes","No – N/A for "&amp;$C$5)))</f>
        <v>Yes</v>
      </c>
    </row>
    <row r="28" customFormat="false" ht="42" hidden="false" customHeight="true" outlineLevel="0" collapsed="false">
      <c r="A28" s="17" t="n">
        <v>12</v>
      </c>
      <c r="B28" s="18" t="s">
        <v>60</v>
      </c>
      <c r="C28" s="19" t="s">
        <v>45</v>
      </c>
      <c r="D28" s="17" t="s">
        <v>61</v>
      </c>
      <c r="E28" s="20"/>
      <c r="F28" s="21"/>
      <c r="G28" s="21"/>
      <c r="H28" s="22"/>
      <c r="I28" s="23" t="str">
        <f aca="false">IF(D28="All","Yes",IF($C$5="","Yes",IF(D28=$C$5,"Yes","No – N/A for "&amp;$C$5)))</f>
        <v>Yes</v>
      </c>
    </row>
    <row r="29" customFormat="false" ht="30" hidden="false" customHeight="true" outlineLevel="0" collapsed="false">
      <c r="A29" s="17" t="n">
        <v>13</v>
      </c>
      <c r="B29" s="18" t="s">
        <v>62</v>
      </c>
      <c r="C29" s="17" t="s">
        <v>56</v>
      </c>
      <c r="D29" s="17" t="s">
        <v>46</v>
      </c>
      <c r="E29" s="20"/>
      <c r="F29" s="21"/>
      <c r="G29" s="21"/>
      <c r="H29" s="22"/>
      <c r="I29" s="23" t="str">
        <f aca="false">IF(D29="All","Yes",IF($C$5="","Yes",IF(D29=$C$5,"Yes","No – N/A for "&amp;$C$5)))</f>
        <v>Yes</v>
      </c>
    </row>
    <row r="30" customFormat="false" ht="42" hidden="false" customHeight="true" outlineLevel="0" collapsed="false">
      <c r="A30" s="17" t="n">
        <v>14</v>
      </c>
      <c r="B30" s="18" t="s">
        <v>63</v>
      </c>
      <c r="C30" s="17" t="s">
        <v>56</v>
      </c>
      <c r="D30" s="17" t="s">
        <v>46</v>
      </c>
      <c r="E30" s="20"/>
      <c r="F30" s="21"/>
      <c r="G30" s="21"/>
      <c r="H30" s="22"/>
      <c r="I30" s="23" t="str">
        <f aca="false">IF(D30="All","Yes",IF($C$5="","Yes",IF(D30=$C$5,"Yes","No – N/A for "&amp;$C$5)))</f>
        <v>Yes</v>
      </c>
    </row>
    <row r="31" customFormat="false" ht="15" hidden="false" customHeight="true" outlineLevel="0" collapsed="false">
      <c r="A31" s="16" t="s">
        <v>64</v>
      </c>
      <c r="B31" s="16"/>
      <c r="C31" s="16"/>
      <c r="D31" s="16"/>
      <c r="E31" s="16"/>
      <c r="F31" s="16"/>
      <c r="G31" s="16"/>
      <c r="H31" s="16"/>
      <c r="I31" s="16"/>
    </row>
    <row r="32" customFormat="false" ht="30" hidden="false" customHeight="true" outlineLevel="0" collapsed="false">
      <c r="A32" s="17" t="n">
        <v>15</v>
      </c>
      <c r="B32" s="18" t="s">
        <v>65</v>
      </c>
      <c r="C32" s="17" t="s">
        <v>56</v>
      </c>
      <c r="D32" s="17" t="s">
        <v>46</v>
      </c>
      <c r="E32" s="20"/>
      <c r="F32" s="21"/>
      <c r="G32" s="21"/>
      <c r="H32" s="22"/>
      <c r="I32" s="23" t="str">
        <f aca="false">IF(D32="All","Yes",IF($C$5="","Yes",IF(D32=$C$5,"Yes","No – N/A for "&amp;$C$5)))</f>
        <v>Yes</v>
      </c>
    </row>
    <row r="33" customFormat="false" ht="42" hidden="false" customHeight="true" outlineLevel="0" collapsed="false">
      <c r="A33" s="17" t="n">
        <v>16</v>
      </c>
      <c r="B33" s="18" t="s">
        <v>66</v>
      </c>
      <c r="C33" s="19" t="s">
        <v>45</v>
      </c>
      <c r="D33" s="17" t="s">
        <v>46</v>
      </c>
      <c r="E33" s="20"/>
      <c r="F33" s="21"/>
      <c r="G33" s="21"/>
      <c r="H33" s="22"/>
      <c r="I33" s="23" t="str">
        <f aca="false">IF(D33="All","Yes",IF($C$5="","Yes",IF(D33=$C$5,"Yes","No – N/A for "&amp;$C$5)))</f>
        <v>Yes</v>
      </c>
    </row>
    <row r="34" customFormat="false" ht="42" hidden="false" customHeight="true" outlineLevel="0" collapsed="false">
      <c r="A34" s="17" t="n">
        <v>17</v>
      </c>
      <c r="B34" s="18" t="s">
        <v>67</v>
      </c>
      <c r="C34" s="19" t="s">
        <v>45</v>
      </c>
      <c r="D34" s="17" t="s">
        <v>46</v>
      </c>
      <c r="E34" s="20"/>
      <c r="F34" s="21"/>
      <c r="G34" s="21"/>
      <c r="H34" s="22"/>
      <c r="I34" s="23" t="str">
        <f aca="false">IF(D34="All","Yes",IF($C$5="","Yes",IF(D34=$C$5,"Yes","No – N/A for "&amp;$C$5)))</f>
        <v>Yes</v>
      </c>
    </row>
    <row r="35" customFormat="false" ht="42" hidden="false" customHeight="true" outlineLevel="0" collapsed="false">
      <c r="A35" s="17" t="n">
        <v>18</v>
      </c>
      <c r="B35" s="18" t="s">
        <v>68</v>
      </c>
      <c r="C35" s="19" t="s">
        <v>45</v>
      </c>
      <c r="D35" s="17" t="s">
        <v>46</v>
      </c>
      <c r="E35" s="20"/>
      <c r="F35" s="21"/>
      <c r="G35" s="21"/>
      <c r="H35" s="22"/>
      <c r="I35" s="23" t="str">
        <f aca="false">IF(D35="All","Yes",IF($C$5="","Yes",IF(D35=$C$5,"Yes","No – N/A for "&amp;$C$5)))</f>
        <v>Yes</v>
      </c>
    </row>
    <row r="36" customFormat="false" ht="30" hidden="false" customHeight="true" outlineLevel="0" collapsed="false">
      <c r="A36" s="17" t="n">
        <v>19</v>
      </c>
      <c r="B36" s="18" t="s">
        <v>69</v>
      </c>
      <c r="C36" s="17" t="s">
        <v>56</v>
      </c>
      <c r="D36" s="17" t="s">
        <v>46</v>
      </c>
      <c r="E36" s="20"/>
      <c r="F36" s="21"/>
      <c r="G36" s="21"/>
      <c r="H36" s="22"/>
      <c r="I36" s="23" t="str">
        <f aca="false">IF(D36="All","Yes",IF($C$5="","Yes",IF(D36=$C$5,"Yes","No – N/A for "&amp;$C$5)))</f>
        <v>Yes</v>
      </c>
    </row>
    <row r="38" customFormat="false" ht="15" hidden="false" customHeight="true" outlineLevel="0" collapsed="false">
      <c r="A38" s="7" t="s">
        <v>70</v>
      </c>
      <c r="B38" s="7"/>
      <c r="C38" s="7"/>
      <c r="D38" s="7"/>
      <c r="E38" s="7"/>
      <c r="F38" s="7"/>
      <c r="G38" s="7"/>
      <c r="H38" s="7"/>
      <c r="I38" s="7"/>
    </row>
    <row r="39" customFormat="false" ht="15" hidden="false" customHeight="true" outlineLevel="0" collapsed="false">
      <c r="A39" s="11" t="s">
        <v>71</v>
      </c>
      <c r="B39" s="11"/>
      <c r="C39" s="24"/>
      <c r="D39" s="24"/>
    </row>
    <row r="40" customFormat="false" ht="15" hidden="false" customHeight="true" outlineLevel="0" collapsed="false">
      <c r="A40" s="11" t="s">
        <v>72</v>
      </c>
      <c r="B40" s="11"/>
      <c r="C40" s="24"/>
      <c r="D40" s="24"/>
    </row>
    <row r="41" customFormat="false" ht="15" hidden="false" customHeight="true" outlineLevel="0" collapsed="false">
      <c r="A41" s="11" t="s">
        <v>73</v>
      </c>
      <c r="B41" s="11"/>
      <c r="C41" s="24"/>
      <c r="D41" s="24"/>
    </row>
    <row r="42" customFormat="false" ht="15" hidden="false" customHeight="true" outlineLevel="0" collapsed="false">
      <c r="A42" s="11" t="s">
        <v>74</v>
      </c>
      <c r="B42" s="11"/>
      <c r="C42" s="24"/>
      <c r="D42" s="24"/>
    </row>
    <row r="43" customFormat="false" ht="15" hidden="false" customHeight="true" outlineLevel="0" collapsed="false">
      <c r="A43" s="11" t="s">
        <v>75</v>
      </c>
      <c r="B43" s="11"/>
      <c r="C43" s="25" t="str">
        <f aca="false">IF(OR($C$40="",$C$41=""),"",ROUND(($C$41-$C$40)*1440,0))</f>
        <v/>
      </c>
      <c r="D43" s="25"/>
      <c r="E43" s="26" t="str">
        <f aca="false">IF($C$43="","Enter the times above",IF($C$43&lt;0,"Check the times: first tray before the zones were in tolerance",IF($C$43&gt;=$C$11,"OK: soak "&amp;$C$43&amp;" min (minimum "&amp;$C$11&amp;")","SHORT: "&amp;$C$43&amp;" min (minimum "&amp;$C$11&amp;") – product of the first trays at risk")))</f>
        <v>Enter the times above</v>
      </c>
      <c r="F43" s="26"/>
      <c r="G43" s="26"/>
      <c r="H43" s="26"/>
      <c r="I43" s="26"/>
    </row>
    <row r="44" customFormat="false" ht="15" hidden="false" customHeight="true" outlineLevel="0" collapsed="false">
      <c r="A44" s="11" t="s">
        <v>76</v>
      </c>
      <c r="B44" s="11"/>
      <c r="C44" s="25" t="str">
        <f aca="false">IF(OR($C$41="",$C$42=""),"",ROUND(($C$42-$C$41)*24,1))</f>
        <v/>
      </c>
      <c r="D44" s="25"/>
      <c r="E44" s="26" t="str">
        <f aca="false">IF($C$44="","Enter the times above",IF($C$44&lt;0,"Check the times",IF($C$44&lt;=$C$12,"OK: within "&amp;$C$12&amp;" h","LATE: more than "&amp;$C$12&amp;" h after the first tray")))</f>
        <v>Enter the times above</v>
      </c>
      <c r="F44" s="26"/>
      <c r="G44" s="26"/>
      <c r="H44" s="26"/>
      <c r="I44" s="26"/>
    </row>
    <row r="46" customFormat="false" ht="15" hidden="false" customHeight="true" outlineLevel="0" collapsed="false">
      <c r="A46" s="7" t="s">
        <v>77</v>
      </c>
      <c r="B46" s="7"/>
      <c r="C46" s="7"/>
      <c r="D46" s="7"/>
      <c r="E46" s="7"/>
      <c r="F46" s="7"/>
      <c r="G46" s="7"/>
      <c r="H46" s="7"/>
      <c r="I46" s="7"/>
    </row>
    <row r="47" customFormat="false" ht="15" hidden="false" customHeight="false" outlineLevel="0" collapsed="false">
      <c r="B47" s="27" t="s">
        <v>78</v>
      </c>
      <c r="C47" s="27" t="s">
        <v>79</v>
      </c>
      <c r="D47" s="27" t="s">
        <v>80</v>
      </c>
      <c r="E47" s="27" t="s">
        <v>81</v>
      </c>
      <c r="F47" s="27" t="s">
        <v>82</v>
      </c>
      <c r="G47" s="27" t="s">
        <v>83</v>
      </c>
      <c r="H47" s="27" t="s">
        <v>38</v>
      </c>
    </row>
    <row r="48" customFormat="false" ht="15" hidden="false" customHeight="false" outlineLevel="0" collapsed="false">
      <c r="B48" s="28" t="s">
        <v>84</v>
      </c>
      <c r="C48" s="29"/>
      <c r="D48" s="29"/>
      <c r="E48" s="29"/>
      <c r="F48" s="30" t="str">
        <f aca="false">IF(OR(C48="",D48=""),"",D48-C48)</f>
        <v/>
      </c>
      <c r="G48" s="30" t="str">
        <f aca="false">IF(OR(C48="",E48=""),"",E48-C48)</f>
        <v/>
      </c>
      <c r="H48" s="25" t="str">
        <f aca="false">IF(OR(F48="",G48=""),"",IF(AND(ABS(F48)&lt;=$C$10,ABS(G48)&lt;=$C$10),"In tol.","OUT"))</f>
        <v/>
      </c>
    </row>
    <row r="49" customFormat="false" ht="15" hidden="false" customHeight="false" outlineLevel="0" collapsed="false">
      <c r="B49" s="28" t="s">
        <v>85</v>
      </c>
      <c r="C49" s="29"/>
      <c r="D49" s="29"/>
      <c r="E49" s="29"/>
      <c r="F49" s="30" t="str">
        <f aca="false">IF(OR(C49="",D49=""),"",D49-C49)</f>
        <v/>
      </c>
      <c r="G49" s="30" t="str">
        <f aca="false">IF(OR(C49="",E49=""),"",E49-C49)</f>
        <v/>
      </c>
      <c r="H49" s="25" t="str">
        <f aca="false">IF(OR(F49="",G49=""),"",IF(AND(ABS(F49)&lt;=$C$10,ABS(G49)&lt;=$C$10),"In tol.","OUT"))</f>
        <v/>
      </c>
    </row>
    <row r="50" customFormat="false" ht="15" hidden="false" customHeight="false" outlineLevel="0" collapsed="false">
      <c r="B50" s="28" t="s">
        <v>86</v>
      </c>
      <c r="C50" s="29"/>
      <c r="D50" s="29"/>
      <c r="E50" s="29"/>
      <c r="F50" s="30" t="str">
        <f aca="false">IF(OR(C50="",D50=""),"",D50-C50)</f>
        <v/>
      </c>
      <c r="G50" s="30" t="str">
        <f aca="false">IF(OR(C50="",E50=""),"",E50-C50)</f>
        <v/>
      </c>
      <c r="H50" s="25" t="str">
        <f aca="false">IF(OR(F50="",G50=""),"",IF(AND(ABS(F50)&lt;=$C$10,ABS(G50)&lt;=$C$10),"In tol.","OUT"))</f>
        <v/>
      </c>
    </row>
    <row r="51" customFormat="false" ht="15" hidden="false" customHeight="false" outlineLevel="0" collapsed="false">
      <c r="B51" s="28" t="s">
        <v>87</v>
      </c>
      <c r="C51" s="29"/>
      <c r="D51" s="29"/>
      <c r="E51" s="29"/>
      <c r="F51" s="30" t="str">
        <f aca="false">IF(OR(C51="",D51=""),"",D51-C51)</f>
        <v/>
      </c>
      <c r="G51" s="30" t="str">
        <f aca="false">IF(OR(C51="",E51=""),"",E51-C51)</f>
        <v/>
      </c>
      <c r="H51" s="25" t="str">
        <f aca="false">IF(OR(F51="",G51=""),"",IF(AND(ABS(F51)&lt;=$C$10,ABS(G51)&lt;=$C$10),"In tol.","OUT"))</f>
        <v/>
      </c>
    </row>
    <row r="52" customFormat="false" ht="15" hidden="false" customHeight="false" outlineLevel="0" collapsed="false">
      <c r="B52" s="28" t="s">
        <v>88</v>
      </c>
      <c r="C52" s="29"/>
      <c r="D52" s="29"/>
      <c r="E52" s="29"/>
      <c r="F52" s="30" t="str">
        <f aca="false">IF(OR(C52="",D52=""),"",D52-C52)</f>
        <v/>
      </c>
      <c r="G52" s="30" t="str">
        <f aca="false">IF(OR(C52="",E52=""),"",E52-C52)</f>
        <v/>
      </c>
      <c r="H52" s="25" t="str">
        <f aca="false">IF(OR(F52="",G52=""),"",IF(AND(ABS(F52)&lt;=$C$10,ABS(G52)&lt;=$C$10),"In tol.","OUT"))</f>
        <v/>
      </c>
    </row>
    <row r="53" customFormat="false" ht="15" hidden="false" customHeight="false" outlineLevel="0" collapsed="false">
      <c r="B53" s="28" t="s">
        <v>89</v>
      </c>
      <c r="C53" s="29"/>
      <c r="D53" s="29"/>
      <c r="E53" s="29"/>
      <c r="F53" s="30" t="str">
        <f aca="false">IF(OR(C53="",D53=""),"",D53-C53)</f>
        <v/>
      </c>
      <c r="G53" s="30" t="str">
        <f aca="false">IF(OR(C53="",E53=""),"",E53-C53)</f>
        <v/>
      </c>
      <c r="H53" s="25" t="str">
        <f aca="false">IF(OR(F53="",G53=""),"",IF(AND(ABS(F53)&lt;=$C$10,ABS(G53)&lt;=$C$10),"In tol.","OUT"))</f>
        <v/>
      </c>
    </row>
    <row r="55" customFormat="false" ht="15" hidden="false" customHeight="true" outlineLevel="0" collapsed="false">
      <c r="A55" s="7" t="s">
        <v>90</v>
      </c>
      <c r="B55" s="7"/>
      <c r="C55" s="7"/>
      <c r="D55" s="7"/>
      <c r="E55" s="7"/>
      <c r="F55" s="7"/>
      <c r="G55" s="7"/>
      <c r="H55" s="7"/>
      <c r="I55" s="7"/>
    </row>
    <row r="56" customFormat="false" ht="15" hidden="false" customHeight="true" outlineLevel="0" collapsed="false">
      <c r="A56" s="11" t="s">
        <v>91</v>
      </c>
      <c r="B56" s="11"/>
      <c r="C56" s="11"/>
      <c r="D56" s="11"/>
      <c r="E56" s="26" t="n">
        <f aca="false">COUNTIF($I$15:$I$36,"Yes")</f>
        <v>19</v>
      </c>
      <c r="F56" s="26"/>
      <c r="G56" s="26"/>
      <c r="H56" s="26"/>
      <c r="I56" s="26"/>
    </row>
    <row r="57" customFormat="false" ht="15" hidden="false" customHeight="true" outlineLevel="0" collapsed="false">
      <c r="A57" s="11" t="s">
        <v>92</v>
      </c>
      <c r="B57" s="11"/>
      <c r="C57" s="11"/>
      <c r="D57" s="11"/>
      <c r="E57" s="26" t="n">
        <f aca="false">COUNTIFS($I$15:$I$36,"Yes",$E$15:$E$36,"&lt;&gt;")</f>
        <v>0</v>
      </c>
      <c r="F57" s="26"/>
      <c r="G57" s="26"/>
      <c r="H57" s="26"/>
      <c r="I57" s="26"/>
    </row>
    <row r="58" customFormat="false" ht="15" hidden="false" customHeight="true" outlineLevel="0" collapsed="false">
      <c r="A58" s="11" t="s">
        <v>93</v>
      </c>
      <c r="B58" s="11"/>
      <c r="C58" s="11"/>
      <c r="D58" s="11"/>
      <c r="E58" s="26" t="n">
        <f aca="false">COUNTIFS($I$15:$I$36,"Yes",$C$15:$C$36,"Yes",$E$15:$E$36,"Not OK")</f>
        <v>0</v>
      </c>
      <c r="F58" s="26"/>
      <c r="G58" s="26"/>
      <c r="H58" s="26"/>
      <c r="I58" s="26"/>
    </row>
    <row r="59" customFormat="false" ht="15" hidden="false" customHeight="true" outlineLevel="0" collapsed="false">
      <c r="A59" s="11" t="s">
        <v>94</v>
      </c>
      <c r="B59" s="11"/>
      <c r="C59" s="11"/>
      <c r="D59" s="11"/>
      <c r="E59" s="26" t="n">
        <f aca="false">COUNTIFS($I$15:$I$36,"Yes",$C$15:$C$36,"No",$E$15:$E$36,"Not OK")</f>
        <v>0</v>
      </c>
      <c r="F59" s="26"/>
      <c r="G59" s="26"/>
      <c r="H59" s="26"/>
      <c r="I59" s="26"/>
    </row>
    <row r="60" customFormat="false" ht="15" hidden="false" customHeight="true" outlineLevel="0" collapsed="false">
      <c r="A60" s="11" t="s">
        <v>95</v>
      </c>
      <c r="B60" s="11"/>
      <c r="C60" s="11"/>
      <c r="D60" s="11"/>
      <c r="E60" s="26" t="n">
        <f aca="false">COUNTIFS($I$15:$I$36,"Yes",$C$15:$C$36,"Yes",$E$15:$E$36,"")</f>
        <v>13</v>
      </c>
      <c r="F60" s="26"/>
      <c r="G60" s="26"/>
      <c r="H60" s="26"/>
      <c r="I60" s="26"/>
    </row>
    <row r="61" customFormat="false" ht="15" hidden="false" customHeight="true" outlineLevel="0" collapsed="false">
      <c r="A61" s="11" t="s">
        <v>96</v>
      </c>
      <c r="B61" s="11"/>
      <c r="C61" s="11"/>
      <c r="D61" s="11"/>
      <c r="E61" s="26" t="n">
        <f aca="false">COUNTIF(H48:H53,"OUT")</f>
        <v>0</v>
      </c>
      <c r="F61" s="26"/>
      <c r="G61" s="26"/>
      <c r="H61" s="26"/>
      <c r="I61" s="26"/>
    </row>
    <row r="62" customFormat="false" ht="15" hidden="false" customHeight="true" outlineLevel="0" collapsed="false">
      <c r="A62" s="11" t="s">
        <v>97</v>
      </c>
      <c r="B62" s="11"/>
      <c r="C62" s="11"/>
      <c r="D62" s="11"/>
      <c r="E62" s="26" t="n">
        <f aca="false">COUNTBLANK(H48:H53)</f>
        <v>6</v>
      </c>
      <c r="F62" s="26"/>
      <c r="G62" s="26"/>
      <c r="H62" s="26"/>
      <c r="I62" s="26"/>
    </row>
    <row r="63" customFormat="false" ht="26.85" hidden="false" customHeight="true" outlineLevel="0" collapsed="false">
      <c r="A63" s="11" t="s">
        <v>98</v>
      </c>
      <c r="B63" s="11"/>
      <c r="C63" s="11"/>
      <c r="D63" s="11"/>
      <c r="E63" s="31" t="str">
        <f aca="false">IF($E$58&gt;0,"NOT RELEASED – critical item Not OK: start the reaction plan in CALOR (Alarms)",IF(OR($E$60&gt;0,$E$62&gt;0,$C$43=""),"INCOMPLETE – answer every critical item, the zone readings and the times",IF($E$61&gt;0,"NOT RELEASED – zone out of tolerance",IF(LEFT($E$43,5)="SHORT","NOT RELEASED – soak too short",IF(LEFT($E$44,4)="LATE","RELEASED – first-off test late: record why","RELEASED FOR PRODUCTION")))))</f>
        <v>INCOMPLETE – answer every critical item, the zone readings and the times</v>
      </c>
      <c r="F63" s="31"/>
      <c r="G63" s="31"/>
      <c r="H63" s="31"/>
      <c r="I63" s="31"/>
    </row>
    <row r="65" customFormat="false" ht="48" hidden="false" customHeight="true" outlineLevel="0" collapsed="false">
      <c r="A65" s="11" t="s">
        <v>99</v>
      </c>
      <c r="B65" s="11"/>
      <c r="C65" s="21"/>
      <c r="D65" s="21"/>
      <c r="E65" s="21"/>
      <c r="F65" s="21"/>
      <c r="G65" s="21"/>
      <c r="H65" s="21"/>
      <c r="I65" s="21"/>
    </row>
    <row r="67" customFormat="false" ht="15" hidden="false" customHeight="true" outlineLevel="0" collapsed="false">
      <c r="B67" s="27" t="s">
        <v>100</v>
      </c>
      <c r="C67" s="27" t="s">
        <v>101</v>
      </c>
      <c r="D67" s="27"/>
      <c r="E67" s="27" t="s">
        <v>102</v>
      </c>
      <c r="F67" s="27"/>
      <c r="G67" s="27" t="s">
        <v>103</v>
      </c>
      <c r="H67" s="27"/>
      <c r="I67" s="27"/>
    </row>
    <row r="68" customFormat="false" ht="25.5" hidden="false" customHeight="true" outlineLevel="0" collapsed="false">
      <c r="B68" s="32" t="s">
        <v>104</v>
      </c>
      <c r="C68" s="12"/>
      <c r="D68" s="12"/>
      <c r="E68" s="12"/>
      <c r="F68" s="12"/>
      <c r="G68" s="12"/>
      <c r="H68" s="12"/>
      <c r="I68" s="12"/>
    </row>
    <row r="69" customFormat="false" ht="25.5" hidden="false" customHeight="true" outlineLevel="0" collapsed="false">
      <c r="B69" s="32" t="s">
        <v>105</v>
      </c>
      <c r="C69" s="12"/>
      <c r="D69" s="12"/>
      <c r="E69" s="12"/>
      <c r="F69" s="12"/>
      <c r="G69" s="12"/>
      <c r="H69" s="12"/>
      <c r="I69" s="12"/>
    </row>
    <row r="70" customFormat="false" ht="25.5" hidden="false" customHeight="true" outlineLevel="0" collapsed="false">
      <c r="B70" s="32" t="s">
        <v>106</v>
      </c>
      <c r="C70" s="12"/>
      <c r="D70" s="12"/>
      <c r="E70" s="12"/>
      <c r="F70" s="12"/>
      <c r="G70" s="12"/>
      <c r="H70" s="12"/>
      <c r="I70" s="12"/>
    </row>
  </sheetData>
  <mergeCells count="63">
    <mergeCell ref="A1:H1"/>
    <mergeCell ref="A2:F3"/>
    <mergeCell ref="G2:H2"/>
    <mergeCell ref="G3:H3"/>
    <mergeCell ref="C5:E5"/>
    <mergeCell ref="G5:H5"/>
    <mergeCell ref="C6:E6"/>
    <mergeCell ref="G6:H6"/>
    <mergeCell ref="C7:H7"/>
    <mergeCell ref="A9:B9"/>
    <mergeCell ref="A10:B10"/>
    <mergeCell ref="A11:B11"/>
    <mergeCell ref="A12:B12"/>
    <mergeCell ref="A15:I15"/>
    <mergeCell ref="A24:I24"/>
    <mergeCell ref="A31:I31"/>
    <mergeCell ref="A38:I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E43:I43"/>
    <mergeCell ref="A44:B44"/>
    <mergeCell ref="C44:D44"/>
    <mergeCell ref="E44:I44"/>
    <mergeCell ref="A46:I46"/>
    <mergeCell ref="A55:I55"/>
    <mergeCell ref="A56:D56"/>
    <mergeCell ref="E56:I56"/>
    <mergeCell ref="A57:D57"/>
    <mergeCell ref="E57:I57"/>
    <mergeCell ref="A58:D58"/>
    <mergeCell ref="E58:I58"/>
    <mergeCell ref="A59:D59"/>
    <mergeCell ref="E59:I59"/>
    <mergeCell ref="A60:D60"/>
    <mergeCell ref="E60:I60"/>
    <mergeCell ref="A61:D61"/>
    <mergeCell ref="E61:I61"/>
    <mergeCell ref="A62:D62"/>
    <mergeCell ref="E62:I62"/>
    <mergeCell ref="A63:D63"/>
    <mergeCell ref="E63:I63"/>
    <mergeCell ref="A65:B65"/>
    <mergeCell ref="C65:I65"/>
    <mergeCell ref="C67:D67"/>
    <mergeCell ref="E67:F67"/>
    <mergeCell ref="G67:I67"/>
    <mergeCell ref="C68:D68"/>
    <mergeCell ref="E68:F68"/>
    <mergeCell ref="G68:I68"/>
    <mergeCell ref="C69:D69"/>
    <mergeCell ref="E69:F69"/>
    <mergeCell ref="G69:I69"/>
    <mergeCell ref="C70:D70"/>
    <mergeCell ref="E70:F70"/>
    <mergeCell ref="G70:I70"/>
  </mergeCells>
  <conditionalFormatting sqref="E15:E36">
    <cfRule type="expression" priority="2" aboveAverage="0" equalAverage="0" bottom="0" percent="0" rank="0" text="" dxfId="0">
      <formula>E15="Not OK"</formula>
    </cfRule>
  </conditionalFormatting>
  <conditionalFormatting sqref="B15:H36">
    <cfRule type="expression" priority="3" aboveAverage="0" equalAverage="0" bottom="0" percent="0" rank="0" text="" dxfId="1">
      <formula>LEFT($I15,2)="No"</formula>
    </cfRule>
  </conditionalFormatting>
  <conditionalFormatting sqref="H48:H53">
    <cfRule type="expression" priority="4" aboveAverage="0" equalAverage="0" bottom="0" percent="0" rank="0" text="" dxfId="0">
      <formula>H48="OUT"</formula>
    </cfRule>
  </conditionalFormatting>
  <conditionalFormatting sqref="E63">
    <cfRule type="expression" priority="5" aboveAverage="0" equalAverage="0" bottom="0" percent="0" rank="0" text="" dxfId="0">
      <formula>OR(LEFT(E63,3)="NOT",LEFT(E63,8)="SHUTDOWN N")</formula>
    </cfRule>
    <cfRule type="expression" priority="6" aboveAverage="0" equalAverage="0" bottom="0" percent="0" rank="0" text="" dxfId="2">
      <formula>OR(LEFT(E63,10)="RELEASED F",E63="SHUTDOWN COMPLETE")</formula>
    </cfRule>
    <cfRule type="expression" priority="7" aboveAverage="0" equalAverage="0" bottom="0" percent="0" rank="0" text="" dxfId="3">
      <formula>OR(LEFT(E63,10)="INCOMPLETE",LEFT(E63,10)="RELEASED –",LEFT(E63,10)="COMPLETE –")</formula>
    </cfRule>
  </conditionalFormatting>
  <dataValidations count="4">
    <dataValidation allowBlank="true" errorStyle="stop" operator="between" showDropDown="false" showErrorMessage="false" showInputMessage="false" sqref="C5" type="list">
      <formula1>"F-01,F-02,F-03,F-04"</formula1>
      <formula2>0</formula2>
    </dataValidation>
    <dataValidation allowBlank="true" errorStyle="stop" operator="between" showDropDown="false" showErrorMessage="false" showInputMessage="false" sqref="C6" type="list">
      <formula1>"A (06:00-14:00),B (14:00-22:00),C (22:00-06:00)"</formula1>
      <formula2>0</formula2>
    </dataValidation>
    <dataValidation allowBlank="true" errorStyle="stop" operator="between" showDropDown="false" showErrorMessage="false" showInputMessage="false" sqref="G5" type="list">
      <formula1>"Cold start (from ambient),Restart after power failure,Restart after maintenance,Restart after an alarm stop,Restart after holiday / idle"</formula1>
      <formula2>0</formula2>
    </dataValidation>
    <dataValidation allowBlank="true" errorStyle="stop" operator="between" showDropDown="false" showErrorMessage="false" showInputMessage="false" sqref="E15:E36" type="list">
      <formula1>"OK,Not OK,N/A"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&amp;L&amp;8Form F-HT-02A Rev 0 · &amp;A&amp;R&amp;8Page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5A"/>
    <pageSetUpPr fitToPage="tru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</row>
    <row r="2" customFormat="false" ht="18" hidden="false" customHeight="true" outlineLevel="0" collapsed="false">
      <c r="A2" s="8" t="s">
        <v>107</v>
      </c>
      <c r="B2" s="8"/>
      <c r="C2" s="8"/>
      <c r="D2" s="8"/>
      <c r="E2" s="8"/>
      <c r="F2" s="8"/>
      <c r="G2" s="9" t="s">
        <v>108</v>
      </c>
      <c r="H2" s="9"/>
    </row>
    <row r="3" customFormat="false" ht="18" hidden="false" customHeight="true" outlineLevel="0" collapsed="false">
      <c r="A3" s="8"/>
      <c r="B3" s="8"/>
      <c r="C3" s="8"/>
      <c r="D3" s="8"/>
      <c r="E3" s="8"/>
      <c r="F3" s="8"/>
      <c r="G3" s="9" t="s">
        <v>109</v>
      </c>
      <c r="H3" s="9"/>
    </row>
    <row r="5" customFormat="false" ht="15" hidden="false" customHeight="false" outlineLevel="0" collapsed="false">
      <c r="A5" s="10"/>
      <c r="B5" s="11" t="s">
        <v>25</v>
      </c>
      <c r="C5" s="12"/>
      <c r="D5" s="12"/>
      <c r="E5" s="12"/>
      <c r="F5" s="11" t="s">
        <v>26</v>
      </c>
      <c r="G5" s="13"/>
      <c r="H5" s="13"/>
    </row>
    <row r="6" customFormat="false" ht="15" hidden="false" customHeight="false" outlineLevel="0" collapsed="false">
      <c r="A6" s="10"/>
      <c r="B6" s="11" t="s">
        <v>27</v>
      </c>
      <c r="C6" s="12"/>
      <c r="D6" s="12"/>
      <c r="E6" s="12"/>
      <c r="F6" s="11" t="s">
        <v>110</v>
      </c>
      <c r="G6" s="12"/>
      <c r="H6" s="12"/>
    </row>
    <row r="7" customFormat="false" ht="15" hidden="false" customHeight="false" outlineLevel="0" collapsed="false">
      <c r="A7" s="10"/>
      <c r="B7" s="11" t="s">
        <v>29</v>
      </c>
      <c r="C7" s="12"/>
      <c r="D7" s="12"/>
      <c r="E7" s="12"/>
      <c r="F7" s="12"/>
      <c r="G7" s="12"/>
      <c r="H7" s="12"/>
    </row>
    <row r="9" customFormat="false" ht="15" hidden="false" customHeight="true" outlineLevel="0" collapsed="false">
      <c r="A9" s="11" t="s">
        <v>30</v>
      </c>
      <c r="B9" s="11"/>
    </row>
    <row r="10" customFormat="false" ht="15" hidden="false" customHeight="true" outlineLevel="0" collapsed="false">
      <c r="A10" s="9" t="s">
        <v>31</v>
      </c>
      <c r="B10" s="9"/>
      <c r="C10" s="14" t="n">
        <v>10</v>
      </c>
    </row>
    <row r="12" customFormat="false" ht="27.75" hidden="false" customHeight="true" outlineLevel="0" collapsed="false">
      <c r="A12" s="15" t="s">
        <v>34</v>
      </c>
      <c r="B12" s="15" t="s">
        <v>35</v>
      </c>
      <c r="C12" s="15" t="s">
        <v>36</v>
      </c>
      <c r="D12" s="15" t="s">
        <v>37</v>
      </c>
      <c r="E12" s="15" t="s">
        <v>38</v>
      </c>
      <c r="F12" s="15" t="s">
        <v>39</v>
      </c>
      <c r="G12" s="15" t="s">
        <v>40</v>
      </c>
      <c r="H12" s="15" t="s">
        <v>41</v>
      </c>
      <c r="I12" s="15" t="s">
        <v>42</v>
      </c>
    </row>
    <row r="13" customFormat="false" ht="15" hidden="false" customHeight="true" outlineLevel="0" collapsed="false">
      <c r="A13" s="16" t="s">
        <v>111</v>
      </c>
      <c r="B13" s="16"/>
      <c r="C13" s="16"/>
      <c r="D13" s="16"/>
      <c r="E13" s="16"/>
      <c r="F13" s="16"/>
      <c r="G13" s="16"/>
      <c r="H13" s="16"/>
      <c r="I13" s="16"/>
    </row>
    <row r="14" customFormat="false" ht="30" hidden="false" customHeight="true" outlineLevel="0" collapsed="false">
      <c r="A14" s="17" t="n">
        <v>1</v>
      </c>
      <c r="B14" s="18" t="s">
        <v>112</v>
      </c>
      <c r="C14" s="19" t="s">
        <v>45</v>
      </c>
      <c r="D14" s="17" t="s">
        <v>46</v>
      </c>
      <c r="E14" s="20"/>
      <c r="F14" s="21"/>
      <c r="G14" s="21"/>
      <c r="H14" s="22"/>
      <c r="I14" s="23" t="str">
        <f aca="false">IF(D14="All","Yes",IF($C$5="","Yes",IF(D14=$C$5,"Yes","No – N/A for "&amp;$C$5)))</f>
        <v>Yes</v>
      </c>
    </row>
    <row r="15" customFormat="false" ht="42" hidden="false" customHeight="true" outlineLevel="0" collapsed="false">
      <c r="A15" s="17" t="n">
        <v>2</v>
      </c>
      <c r="B15" s="18" t="s">
        <v>113</v>
      </c>
      <c r="C15" s="19" t="s">
        <v>45</v>
      </c>
      <c r="D15" s="17" t="s">
        <v>46</v>
      </c>
      <c r="E15" s="20"/>
      <c r="F15" s="21"/>
      <c r="G15" s="21"/>
      <c r="H15" s="22"/>
      <c r="I15" s="23" t="str">
        <f aca="false">IF(D15="All","Yes",IF($C$5="","Yes",IF(D15=$C$5,"Yes","No – N/A for "&amp;$C$5)))</f>
        <v>Yes</v>
      </c>
    </row>
    <row r="16" customFormat="false" ht="30" hidden="false" customHeight="true" outlineLevel="0" collapsed="false">
      <c r="A16" s="17" t="n">
        <v>3</v>
      </c>
      <c r="B16" s="18" t="s">
        <v>114</v>
      </c>
      <c r="C16" s="19" t="s">
        <v>45</v>
      </c>
      <c r="D16" s="17" t="s">
        <v>46</v>
      </c>
      <c r="E16" s="20"/>
      <c r="F16" s="21"/>
      <c r="G16" s="21"/>
      <c r="H16" s="22"/>
      <c r="I16" s="23" t="str">
        <f aca="false">IF(D16="All","Yes",IF($C$5="","Yes",IF(D16=$C$5,"Yes","No – N/A for "&amp;$C$5)))</f>
        <v>Yes</v>
      </c>
    </row>
    <row r="17" customFormat="false" ht="30" hidden="false" customHeight="true" outlineLevel="0" collapsed="false">
      <c r="A17" s="17" t="n">
        <v>4</v>
      </c>
      <c r="B17" s="18" t="s">
        <v>115</v>
      </c>
      <c r="C17" s="19" t="s">
        <v>45</v>
      </c>
      <c r="D17" s="17" t="s">
        <v>46</v>
      </c>
      <c r="E17" s="20"/>
      <c r="F17" s="21"/>
      <c r="G17" s="21"/>
      <c r="H17" s="22"/>
      <c r="I17" s="23" t="str">
        <f aca="false">IF(D17="All","Yes",IF($C$5="","Yes",IF(D17=$C$5,"Yes","No – N/A for "&amp;$C$5)))</f>
        <v>Yes</v>
      </c>
    </row>
    <row r="18" customFormat="false" ht="15" hidden="false" customHeight="true" outlineLevel="0" collapsed="false">
      <c r="A18" s="16" t="s">
        <v>116</v>
      </c>
      <c r="B18" s="16"/>
      <c r="C18" s="16"/>
      <c r="D18" s="16"/>
      <c r="E18" s="16"/>
      <c r="F18" s="16"/>
      <c r="G18" s="16"/>
      <c r="H18" s="16"/>
      <c r="I18" s="16"/>
    </row>
    <row r="19" customFormat="false" ht="30" hidden="false" customHeight="true" outlineLevel="0" collapsed="false">
      <c r="A19" s="17" t="n">
        <v>5</v>
      </c>
      <c r="B19" s="18" t="s">
        <v>117</v>
      </c>
      <c r="C19" s="19" t="s">
        <v>45</v>
      </c>
      <c r="D19" s="17" t="s">
        <v>46</v>
      </c>
      <c r="E19" s="20"/>
      <c r="F19" s="21"/>
      <c r="G19" s="21"/>
      <c r="H19" s="22"/>
      <c r="I19" s="23" t="str">
        <f aca="false">IF(D19="All","Yes",IF($C$5="","Yes",IF(D19=$C$5,"Yes","No – N/A for "&amp;$C$5)))</f>
        <v>Yes</v>
      </c>
    </row>
    <row r="20" customFormat="false" ht="30" hidden="false" customHeight="true" outlineLevel="0" collapsed="false">
      <c r="A20" s="17" t="n">
        <v>6</v>
      </c>
      <c r="B20" s="18" t="s">
        <v>118</v>
      </c>
      <c r="C20" s="19" t="s">
        <v>45</v>
      </c>
      <c r="D20" s="17" t="s">
        <v>46</v>
      </c>
      <c r="E20" s="20"/>
      <c r="F20" s="21"/>
      <c r="G20" s="21"/>
      <c r="H20" s="22"/>
      <c r="I20" s="23" t="str">
        <f aca="false">IF(D20="All","Yes",IF($C$5="","Yes",IF(D20=$C$5,"Yes","No – N/A for "&amp;$C$5)))</f>
        <v>Yes</v>
      </c>
    </row>
    <row r="21" customFormat="false" ht="30" hidden="false" customHeight="true" outlineLevel="0" collapsed="false">
      <c r="A21" s="17" t="n">
        <v>7</v>
      </c>
      <c r="B21" s="18" t="s">
        <v>119</v>
      </c>
      <c r="C21" s="17" t="s">
        <v>56</v>
      </c>
      <c r="D21" s="17" t="s">
        <v>46</v>
      </c>
      <c r="E21" s="20"/>
      <c r="F21" s="21"/>
      <c r="G21" s="21"/>
      <c r="H21" s="22"/>
      <c r="I21" s="23" t="str">
        <f aca="false">IF(D21="All","Yes",IF($C$5="","Yes",IF(D21=$C$5,"Yes","No – N/A for "&amp;$C$5)))</f>
        <v>Yes</v>
      </c>
    </row>
    <row r="22" customFormat="false" ht="30" hidden="false" customHeight="true" outlineLevel="0" collapsed="false">
      <c r="A22" s="17" t="n">
        <v>8</v>
      </c>
      <c r="B22" s="18" t="s">
        <v>120</v>
      </c>
      <c r="C22" s="17" t="s">
        <v>56</v>
      </c>
      <c r="D22" s="17" t="s">
        <v>46</v>
      </c>
      <c r="E22" s="20"/>
      <c r="F22" s="21"/>
      <c r="G22" s="21"/>
      <c r="H22" s="22"/>
      <c r="I22" s="23" t="str">
        <f aca="false">IF(D22="All","Yes",IF($C$5="","Yes",IF(D22=$C$5,"Yes","No – N/A for "&amp;$C$5)))</f>
        <v>Yes</v>
      </c>
    </row>
    <row r="23" customFormat="false" ht="42" hidden="false" customHeight="true" outlineLevel="0" collapsed="false">
      <c r="A23" s="17" t="n">
        <v>9</v>
      </c>
      <c r="B23" s="18" t="s">
        <v>121</v>
      </c>
      <c r="C23" s="17" t="s">
        <v>56</v>
      </c>
      <c r="D23" s="17" t="s">
        <v>59</v>
      </c>
      <c r="E23" s="20"/>
      <c r="F23" s="21"/>
      <c r="G23" s="21"/>
      <c r="H23" s="22"/>
      <c r="I23" s="23" t="str">
        <f aca="false">IF(D23="All","Yes",IF($C$5="","Yes",IF(D23=$C$5,"Yes","No – N/A for "&amp;$C$5)))</f>
        <v>Yes</v>
      </c>
    </row>
    <row r="24" customFormat="false" ht="42" hidden="false" customHeight="true" outlineLevel="0" collapsed="false">
      <c r="A24" s="17" t="n">
        <v>10</v>
      </c>
      <c r="B24" s="18" t="s">
        <v>122</v>
      </c>
      <c r="C24" s="19" t="s">
        <v>45</v>
      </c>
      <c r="D24" s="17" t="s">
        <v>61</v>
      </c>
      <c r="E24" s="20"/>
      <c r="F24" s="21"/>
      <c r="G24" s="21"/>
      <c r="H24" s="22"/>
      <c r="I24" s="23" t="str">
        <f aca="false">IF(D24="All","Yes",IF($C$5="","Yes",IF(D24=$C$5,"Yes","No – N/A for "&amp;$C$5)))</f>
        <v>Yes</v>
      </c>
    </row>
    <row r="25" customFormat="false" ht="30" hidden="false" customHeight="true" outlineLevel="0" collapsed="false">
      <c r="A25" s="17" t="n">
        <v>11</v>
      </c>
      <c r="B25" s="18" t="s">
        <v>123</v>
      </c>
      <c r="C25" s="17" t="s">
        <v>56</v>
      </c>
      <c r="D25" s="17" t="s">
        <v>46</v>
      </c>
      <c r="E25" s="20"/>
      <c r="F25" s="21"/>
      <c r="G25" s="21"/>
      <c r="H25" s="22"/>
      <c r="I25" s="23" t="str">
        <f aca="false">IF(D25="All","Yes",IF($C$5="","Yes",IF(D25=$C$5,"Yes","No – N/A for "&amp;$C$5)))</f>
        <v>Yes</v>
      </c>
    </row>
    <row r="26" customFormat="false" ht="30" hidden="false" customHeight="true" outlineLevel="0" collapsed="false">
      <c r="A26" s="17" t="n">
        <v>12</v>
      </c>
      <c r="B26" s="18" t="s">
        <v>124</v>
      </c>
      <c r="C26" s="19" t="s">
        <v>45</v>
      </c>
      <c r="D26" s="17" t="s">
        <v>46</v>
      </c>
      <c r="E26" s="20"/>
      <c r="F26" s="21"/>
      <c r="G26" s="21"/>
      <c r="H26" s="22"/>
      <c r="I26" s="23" t="str">
        <f aca="false">IF(D26="All","Yes",IF($C$5="","Yes",IF(D26=$C$5,"Yes","No – N/A for "&amp;$C$5)))</f>
        <v>Yes</v>
      </c>
    </row>
    <row r="27" customFormat="false" ht="15" hidden="false" customHeight="true" outlineLevel="0" collapsed="false">
      <c r="A27" s="16" t="s">
        <v>125</v>
      </c>
      <c r="B27" s="16"/>
      <c r="C27" s="16"/>
      <c r="D27" s="16"/>
      <c r="E27" s="16"/>
      <c r="F27" s="16"/>
      <c r="G27" s="16"/>
      <c r="H27" s="16"/>
      <c r="I27" s="16"/>
    </row>
    <row r="28" customFormat="false" ht="42" hidden="false" customHeight="true" outlineLevel="0" collapsed="false">
      <c r="A28" s="17" t="n">
        <v>13</v>
      </c>
      <c r="B28" s="18" t="s">
        <v>126</v>
      </c>
      <c r="C28" s="19" t="s">
        <v>45</v>
      </c>
      <c r="D28" s="17" t="s">
        <v>46</v>
      </c>
      <c r="E28" s="20"/>
      <c r="F28" s="21"/>
      <c r="G28" s="21"/>
      <c r="H28" s="22"/>
      <c r="I28" s="23" t="str">
        <f aca="false">IF(D28="All","Yes",IF($C$5="","Yes",IF(D28=$C$5,"Yes","No – N/A for "&amp;$C$5)))</f>
        <v>Yes</v>
      </c>
    </row>
    <row r="29" customFormat="false" ht="42" hidden="false" customHeight="true" outlineLevel="0" collapsed="false">
      <c r="A29" s="17" t="n">
        <v>14</v>
      </c>
      <c r="B29" s="18" t="s">
        <v>127</v>
      </c>
      <c r="C29" s="17" t="s">
        <v>56</v>
      </c>
      <c r="D29" s="17" t="s">
        <v>46</v>
      </c>
      <c r="E29" s="20"/>
      <c r="F29" s="21"/>
      <c r="G29" s="21"/>
      <c r="H29" s="22"/>
      <c r="I29" s="23" t="str">
        <f aca="false">IF(D29="All","Yes",IF($C$5="","Yes",IF(D29=$C$5,"Yes","No – N/A for "&amp;$C$5)))</f>
        <v>Yes</v>
      </c>
    </row>
    <row r="31" customFormat="false" ht="15" hidden="false" customHeight="true" outlineLevel="0" collapsed="false">
      <c r="A31" s="7" t="s">
        <v>128</v>
      </c>
      <c r="B31" s="7"/>
      <c r="C31" s="7"/>
      <c r="D31" s="7"/>
      <c r="E31" s="7"/>
      <c r="F31" s="7"/>
      <c r="G31" s="7"/>
      <c r="H31" s="7"/>
      <c r="I31" s="7"/>
    </row>
    <row r="32" customFormat="false" ht="15" hidden="false" customHeight="true" outlineLevel="0" collapsed="false">
      <c r="A32" s="11" t="s">
        <v>129</v>
      </c>
      <c r="B32" s="11"/>
      <c r="C32" s="24"/>
      <c r="D32" s="24"/>
    </row>
    <row r="33" customFormat="false" ht="15" hidden="false" customHeight="true" outlineLevel="0" collapsed="false">
      <c r="A33" s="11" t="s">
        <v>130</v>
      </c>
      <c r="B33" s="11"/>
      <c r="C33" s="24"/>
      <c r="D33" s="24"/>
    </row>
    <row r="34" customFormat="false" ht="15" hidden="false" customHeight="true" outlineLevel="0" collapsed="false">
      <c r="A34" s="11" t="s">
        <v>131</v>
      </c>
      <c r="B34" s="11"/>
      <c r="C34" s="24"/>
      <c r="D34" s="24"/>
    </row>
    <row r="35" customFormat="false" ht="15" hidden="false" customHeight="true" outlineLevel="0" collapsed="false">
      <c r="A35" s="11" t="s">
        <v>132</v>
      </c>
      <c r="B35" s="11"/>
      <c r="C35" s="24"/>
      <c r="D35" s="24"/>
    </row>
    <row r="37" customFormat="false" ht="15" hidden="false" customHeight="true" outlineLevel="0" collapsed="false">
      <c r="B37" s="27" t="s">
        <v>133</v>
      </c>
      <c r="C37" s="27" t="s">
        <v>134</v>
      </c>
      <c r="D37" s="27" t="s">
        <v>135</v>
      </c>
      <c r="E37" s="27"/>
      <c r="F37" s="27"/>
      <c r="G37" s="27" t="s">
        <v>136</v>
      </c>
      <c r="H37" s="27"/>
      <c r="I37" s="27"/>
    </row>
    <row r="38" customFormat="false" ht="15" hidden="false" customHeight="false" outlineLevel="0" collapsed="false">
      <c r="B38" s="28" t="s">
        <v>137</v>
      </c>
      <c r="C38" s="20"/>
      <c r="D38" s="12"/>
      <c r="E38" s="12"/>
      <c r="F38" s="12"/>
      <c r="G38" s="12"/>
      <c r="H38" s="12"/>
      <c r="I38" s="12"/>
    </row>
    <row r="39" customFormat="false" ht="15" hidden="false" customHeight="false" outlineLevel="0" collapsed="false">
      <c r="B39" s="28" t="s">
        <v>138</v>
      </c>
      <c r="C39" s="20"/>
      <c r="D39" s="12"/>
      <c r="E39" s="12"/>
      <c r="F39" s="12"/>
      <c r="G39" s="12"/>
      <c r="H39" s="12"/>
      <c r="I39" s="12"/>
    </row>
    <row r="40" customFormat="false" ht="15" hidden="false" customHeight="false" outlineLevel="0" collapsed="false">
      <c r="B40" s="28" t="s">
        <v>139</v>
      </c>
      <c r="C40" s="20"/>
      <c r="D40" s="12"/>
      <c r="E40" s="12"/>
      <c r="F40" s="12"/>
      <c r="G40" s="12"/>
      <c r="H40" s="12"/>
      <c r="I40" s="12"/>
    </row>
    <row r="41" customFormat="false" ht="15" hidden="false" customHeight="false" outlineLevel="0" collapsed="false">
      <c r="B41" s="11" t="s">
        <v>140</v>
      </c>
      <c r="C41" s="33" t="n">
        <f aca="false">SUM(C38:C40)</f>
        <v>0</v>
      </c>
    </row>
    <row r="42" customFormat="false" ht="15" hidden="false" customHeight="false" outlineLevel="0" collapsed="false">
      <c r="B42" s="11" t="s">
        <v>141</v>
      </c>
      <c r="C42" s="26" t="str">
        <f aca="false">IF($C$41=0,"No product left inside",IF(COUNTA(G38:G40)&gt;=COUNTIF(C38:C40,"&gt;0"),"Disposition recorded for the trays left inside","Record the disposition of the trays left inside (hold for evaluation; hardness before release)"))</f>
        <v>No product left inside</v>
      </c>
      <c r="D42" s="26"/>
      <c r="E42" s="26"/>
      <c r="F42" s="26"/>
      <c r="G42" s="26"/>
      <c r="H42" s="26"/>
      <c r="I42" s="26"/>
    </row>
    <row r="44" customFormat="false" ht="15" hidden="false" customHeight="true" outlineLevel="0" collapsed="false">
      <c r="A44" s="7" t="s">
        <v>90</v>
      </c>
      <c r="B44" s="7"/>
      <c r="C44" s="7"/>
      <c r="D44" s="7"/>
      <c r="E44" s="7"/>
      <c r="F44" s="7"/>
      <c r="G44" s="7"/>
      <c r="H44" s="7"/>
      <c r="I44" s="7"/>
    </row>
    <row r="45" customFormat="false" ht="15" hidden="false" customHeight="true" outlineLevel="0" collapsed="false">
      <c r="A45" s="11" t="s">
        <v>91</v>
      </c>
      <c r="B45" s="11"/>
      <c r="C45" s="11"/>
      <c r="D45" s="11"/>
      <c r="E45" s="26" t="n">
        <f aca="false">COUNTIF($I$13:$I$29,"Yes")</f>
        <v>14</v>
      </c>
      <c r="F45" s="26"/>
      <c r="G45" s="26"/>
      <c r="H45" s="26"/>
      <c r="I45" s="26"/>
    </row>
    <row r="46" customFormat="false" ht="15" hidden="false" customHeight="true" outlineLevel="0" collapsed="false">
      <c r="A46" s="11" t="s">
        <v>92</v>
      </c>
      <c r="B46" s="11"/>
      <c r="C46" s="11"/>
      <c r="D46" s="11"/>
      <c r="E46" s="26" t="n">
        <f aca="false">COUNTIFS($I$13:$I$29,"Yes",$E$13:$E$29,"&lt;&gt;")</f>
        <v>0</v>
      </c>
      <c r="F46" s="26"/>
      <c r="G46" s="26"/>
      <c r="H46" s="26"/>
      <c r="I46" s="26"/>
    </row>
    <row r="47" customFormat="false" ht="15" hidden="false" customHeight="true" outlineLevel="0" collapsed="false">
      <c r="A47" s="11" t="s">
        <v>93</v>
      </c>
      <c r="B47" s="11"/>
      <c r="C47" s="11"/>
      <c r="D47" s="11"/>
      <c r="E47" s="26" t="n">
        <f aca="false">COUNTIFS($I$13:$I$29,"Yes",$C$13:$C$29,"Yes",$E$13:$E$29,"Not OK")</f>
        <v>0</v>
      </c>
      <c r="F47" s="26"/>
      <c r="G47" s="26"/>
      <c r="H47" s="26"/>
      <c r="I47" s="26"/>
    </row>
    <row r="48" customFormat="false" ht="15" hidden="false" customHeight="true" outlineLevel="0" collapsed="false">
      <c r="A48" s="11" t="s">
        <v>94</v>
      </c>
      <c r="B48" s="11"/>
      <c r="C48" s="11"/>
      <c r="D48" s="11"/>
      <c r="E48" s="26" t="n">
        <f aca="false">COUNTIFS($I$13:$I$29,"Yes",$C$13:$C$29,"No",$E$13:$E$29,"Not OK")</f>
        <v>0</v>
      </c>
      <c r="F48" s="26"/>
      <c r="G48" s="26"/>
      <c r="H48" s="26"/>
      <c r="I48" s="26"/>
    </row>
    <row r="49" customFormat="false" ht="15" hidden="false" customHeight="true" outlineLevel="0" collapsed="false">
      <c r="A49" s="11" t="s">
        <v>95</v>
      </c>
      <c r="B49" s="11"/>
      <c r="C49" s="11"/>
      <c r="D49" s="11"/>
      <c r="E49" s="26" t="n">
        <f aca="false">COUNTIFS($I$13:$I$29,"Yes",$C$13:$C$29,"Yes",$E$13:$E$29,"")</f>
        <v>9</v>
      </c>
      <c r="F49" s="26"/>
      <c r="G49" s="26"/>
      <c r="H49" s="26"/>
      <c r="I49" s="26"/>
    </row>
    <row r="50" customFormat="false" ht="15" hidden="false" customHeight="true" outlineLevel="0" collapsed="false">
      <c r="A50" s="11" t="s">
        <v>98</v>
      </c>
      <c r="B50" s="11"/>
      <c r="C50" s="11"/>
      <c r="D50" s="11"/>
      <c r="E50" s="31" t="str">
        <f aca="false">IF($E$47&gt;0,"SHUTDOWN NOT SAFE / NOT COMPLETE – critical item Not OK",IF($E$49&gt;0,"INCOMPLETE – answer every critical item",IF(AND($C$41&gt;0,LEFT($C$42,11)="Record the "),"COMPLETE – but record the disposition of the product left inside","SHUTDOWN COMPLETE")))</f>
        <v>INCOMPLETE – answer every critical item</v>
      </c>
      <c r="F50" s="31"/>
      <c r="G50" s="31"/>
      <c r="H50" s="31"/>
      <c r="I50" s="31"/>
    </row>
    <row r="52" customFormat="false" ht="48" hidden="false" customHeight="true" outlineLevel="0" collapsed="false">
      <c r="A52" s="11" t="s">
        <v>99</v>
      </c>
      <c r="B52" s="11"/>
      <c r="C52" s="21"/>
      <c r="D52" s="21"/>
      <c r="E52" s="21"/>
      <c r="F52" s="21"/>
      <c r="G52" s="21"/>
      <c r="H52" s="21"/>
      <c r="I52" s="21"/>
    </row>
    <row r="54" customFormat="false" ht="15" hidden="false" customHeight="true" outlineLevel="0" collapsed="false">
      <c r="B54" s="27" t="s">
        <v>100</v>
      </c>
      <c r="C54" s="27" t="s">
        <v>101</v>
      </c>
      <c r="D54" s="27"/>
      <c r="E54" s="27" t="s">
        <v>102</v>
      </c>
      <c r="F54" s="27"/>
      <c r="G54" s="27" t="s">
        <v>103</v>
      </c>
      <c r="H54" s="27"/>
      <c r="I54" s="27"/>
    </row>
    <row r="55" customFormat="false" ht="25.5" hidden="false" customHeight="true" outlineLevel="0" collapsed="false">
      <c r="B55" s="32" t="s">
        <v>104</v>
      </c>
      <c r="C55" s="12"/>
      <c r="D55" s="12"/>
      <c r="E55" s="12"/>
      <c r="F55" s="12"/>
      <c r="G55" s="12"/>
      <c r="H55" s="12"/>
      <c r="I55" s="12"/>
    </row>
    <row r="56" customFormat="false" ht="25.5" hidden="false" customHeight="true" outlineLevel="0" collapsed="false">
      <c r="B56" s="32" t="s">
        <v>105</v>
      </c>
      <c r="C56" s="12"/>
      <c r="D56" s="12"/>
      <c r="E56" s="12"/>
      <c r="F56" s="12"/>
      <c r="G56" s="12"/>
      <c r="H56" s="12"/>
      <c r="I56" s="12"/>
    </row>
    <row r="57" customFormat="false" ht="25.5" hidden="false" customHeight="true" outlineLevel="0" collapsed="false">
      <c r="B57" s="32" t="s">
        <v>142</v>
      </c>
      <c r="C57" s="12"/>
      <c r="D57" s="12"/>
      <c r="E57" s="12"/>
      <c r="F57" s="12"/>
      <c r="G57" s="12"/>
      <c r="H57" s="12"/>
      <c r="I57" s="12"/>
    </row>
  </sheetData>
  <mergeCells count="59">
    <mergeCell ref="A1:H1"/>
    <mergeCell ref="A2:F3"/>
    <mergeCell ref="G2:H2"/>
    <mergeCell ref="G3:H3"/>
    <mergeCell ref="C5:E5"/>
    <mergeCell ref="G5:H5"/>
    <mergeCell ref="C6:E6"/>
    <mergeCell ref="G6:H6"/>
    <mergeCell ref="C7:H7"/>
    <mergeCell ref="A9:B9"/>
    <mergeCell ref="A10:B10"/>
    <mergeCell ref="A13:I13"/>
    <mergeCell ref="A18:I18"/>
    <mergeCell ref="A27:I27"/>
    <mergeCell ref="A31:I31"/>
    <mergeCell ref="A32:B32"/>
    <mergeCell ref="C32:D32"/>
    <mergeCell ref="A33:B33"/>
    <mergeCell ref="C33:D33"/>
    <mergeCell ref="A34:B34"/>
    <mergeCell ref="C34:D34"/>
    <mergeCell ref="A35:B35"/>
    <mergeCell ref="C35:D35"/>
    <mergeCell ref="D37:F37"/>
    <mergeCell ref="G37:I37"/>
    <mergeCell ref="D38:F38"/>
    <mergeCell ref="G38:I38"/>
    <mergeCell ref="D39:F39"/>
    <mergeCell ref="G39:I39"/>
    <mergeCell ref="D40:F40"/>
    <mergeCell ref="G40:I40"/>
    <mergeCell ref="C42:I42"/>
    <mergeCell ref="A44:I44"/>
    <mergeCell ref="A45:D45"/>
    <mergeCell ref="E45:I45"/>
    <mergeCell ref="A46:D46"/>
    <mergeCell ref="E46:I46"/>
    <mergeCell ref="A47:D47"/>
    <mergeCell ref="E47:I47"/>
    <mergeCell ref="A48:D48"/>
    <mergeCell ref="E48:I48"/>
    <mergeCell ref="A49:D49"/>
    <mergeCell ref="E49:I49"/>
    <mergeCell ref="A50:D50"/>
    <mergeCell ref="E50:I50"/>
    <mergeCell ref="A52:B52"/>
    <mergeCell ref="C52:I52"/>
    <mergeCell ref="C54:D54"/>
    <mergeCell ref="E54:F54"/>
    <mergeCell ref="G54:I54"/>
    <mergeCell ref="C55:D55"/>
    <mergeCell ref="E55:F55"/>
    <mergeCell ref="G55:I55"/>
    <mergeCell ref="C56:D56"/>
    <mergeCell ref="E56:F56"/>
    <mergeCell ref="G56:I56"/>
    <mergeCell ref="C57:D57"/>
    <mergeCell ref="E57:F57"/>
    <mergeCell ref="G57:I57"/>
  </mergeCells>
  <conditionalFormatting sqref="E13:E29">
    <cfRule type="expression" priority="2" aboveAverage="0" equalAverage="0" bottom="0" percent="0" rank="0" text="" dxfId="0">
      <formula>E13="Not OK"</formula>
    </cfRule>
  </conditionalFormatting>
  <conditionalFormatting sqref="B13:H29">
    <cfRule type="expression" priority="3" aboveAverage="0" equalAverage="0" bottom="0" percent="0" rank="0" text="" dxfId="1">
      <formula>LEFT($I13,2)="No"</formula>
    </cfRule>
  </conditionalFormatting>
  <conditionalFormatting sqref="E50">
    <cfRule type="expression" priority="4" aboveAverage="0" equalAverage="0" bottom="0" percent="0" rank="0" text="" dxfId="0">
      <formula>OR(LEFT(E50,3)="NOT",LEFT(E50,8)="SHUTDOWN N")</formula>
    </cfRule>
    <cfRule type="expression" priority="5" aboveAverage="0" equalAverage="0" bottom="0" percent="0" rank="0" text="" dxfId="2">
      <formula>OR(LEFT(E50,10)="RELEASED F",E50="SHUTDOWN COMPLETE")</formula>
    </cfRule>
    <cfRule type="expression" priority="6" aboveAverage="0" equalAverage="0" bottom="0" percent="0" rank="0" text="" dxfId="3">
      <formula>OR(LEFT(E50,10)="INCOMPLETE",LEFT(E50,10)="RELEASED –",LEFT(E50,10)="COMPLETE –")</formula>
    </cfRule>
  </conditionalFormatting>
  <dataValidations count="4">
    <dataValidation allowBlank="true" errorStyle="stop" operator="between" showDropDown="false" showErrorMessage="false" showInputMessage="false" sqref="C5" type="list">
      <formula1>"F-01,F-02,F-03,F-04"</formula1>
      <formula2>0</formula2>
    </dataValidation>
    <dataValidation allowBlank="true" errorStyle="stop" operator="between" showDropDown="false" showErrorMessage="false" showInputMessage="false" sqref="C6" type="list">
      <formula1>"A (06:00-14:00),B (14:00-22:00),C (22:00-06:00)"</formula1>
      <formula2>0</formula2>
    </dataValidation>
    <dataValidation allowBlank="true" errorStyle="stop" operator="between" showDropDown="false" showErrorMessage="false" showInputMessage="false" sqref="G5" type="list">
      <formula1>"Planned (no orders),Planned maintenance,Holiday / weekend,Emergency (alarm / power / gas),Breakdown"</formula1>
      <formula2>0</formula2>
    </dataValidation>
    <dataValidation allowBlank="true" errorStyle="stop" operator="between" showDropDown="false" showErrorMessage="false" showInputMessage="false" sqref="E13:E29" type="list">
      <formula1>"OK,Not OK,N/A"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&amp;L&amp;8Form F-HT-03A Rev 0 · &amp;A&amp;R&amp;8Page &amp;P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8"/>
    <pageSetUpPr fitToPage="true"/>
  </sheetPr>
  <dimension ref="A1:I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</row>
    <row r="2" customFormat="false" ht="18" hidden="false" customHeight="true" outlineLevel="0" collapsed="false">
      <c r="A2" s="8" t="s">
        <v>22</v>
      </c>
      <c r="B2" s="8"/>
      <c r="C2" s="8"/>
      <c r="D2" s="8"/>
      <c r="E2" s="8"/>
      <c r="F2" s="8"/>
      <c r="G2" s="9" t="s">
        <v>23</v>
      </c>
      <c r="H2" s="9"/>
    </row>
    <row r="3" customFormat="false" ht="18" hidden="false" customHeight="true" outlineLevel="0" collapsed="false">
      <c r="A3" s="8"/>
      <c r="B3" s="8"/>
      <c r="C3" s="8"/>
      <c r="D3" s="8"/>
      <c r="E3" s="8"/>
      <c r="F3" s="8"/>
      <c r="G3" s="9" t="s">
        <v>24</v>
      </c>
      <c r="H3" s="9"/>
    </row>
    <row r="5" customFormat="false" ht="15" hidden="false" customHeight="true" outlineLevel="0" collapsed="false">
      <c r="A5" s="10"/>
      <c r="B5" s="11" t="s">
        <v>25</v>
      </c>
      <c r="C5" s="34" t="s">
        <v>61</v>
      </c>
      <c r="D5" s="34"/>
      <c r="E5" s="34"/>
      <c r="F5" s="11" t="s">
        <v>26</v>
      </c>
      <c r="G5" s="35" t="n">
        <v>46315</v>
      </c>
      <c r="H5" s="35"/>
    </row>
    <row r="6" customFormat="false" ht="15" hidden="false" customHeight="true" outlineLevel="0" collapsed="false">
      <c r="A6" s="10"/>
      <c r="B6" s="11" t="s">
        <v>27</v>
      </c>
      <c r="C6" s="34" t="s">
        <v>143</v>
      </c>
      <c r="D6" s="34"/>
      <c r="E6" s="34"/>
      <c r="F6" s="11" t="s">
        <v>28</v>
      </c>
      <c r="G6" s="34" t="s">
        <v>144</v>
      </c>
      <c r="H6" s="34"/>
    </row>
    <row r="7" customFormat="false" ht="15" hidden="false" customHeight="true" outlineLevel="0" collapsed="false">
      <c r="A7" s="10"/>
      <c r="B7" s="11" t="s">
        <v>29</v>
      </c>
      <c r="C7" s="34" t="s">
        <v>145</v>
      </c>
      <c r="D7" s="34"/>
      <c r="E7" s="34"/>
      <c r="F7" s="34"/>
      <c r="G7" s="34"/>
      <c r="H7" s="34"/>
    </row>
    <row r="9" customFormat="false" ht="15" hidden="false" customHeight="true" outlineLevel="0" collapsed="false">
      <c r="A9" s="11" t="s">
        <v>30</v>
      </c>
      <c r="B9" s="11"/>
    </row>
    <row r="10" customFormat="false" ht="15" hidden="false" customHeight="true" outlineLevel="0" collapsed="false">
      <c r="A10" s="9" t="s">
        <v>31</v>
      </c>
      <c r="B10" s="9"/>
      <c r="C10" s="14" t="n">
        <v>10</v>
      </c>
    </row>
    <row r="11" customFormat="false" ht="15" hidden="false" customHeight="true" outlineLevel="0" collapsed="false">
      <c r="A11" s="9" t="s">
        <v>32</v>
      </c>
      <c r="B11" s="9"/>
      <c r="C11" s="14" t="n">
        <v>30</v>
      </c>
    </row>
    <row r="12" customFormat="false" ht="15" hidden="false" customHeight="true" outlineLevel="0" collapsed="false">
      <c r="A12" s="9" t="s">
        <v>33</v>
      </c>
      <c r="B12" s="9"/>
      <c r="C12" s="14" t="n">
        <v>8</v>
      </c>
    </row>
    <row r="14" customFormat="false" ht="27.75" hidden="false" customHeight="true" outlineLevel="0" collapsed="false">
      <c r="A14" s="15" t="s">
        <v>34</v>
      </c>
      <c r="B14" s="15" t="s">
        <v>35</v>
      </c>
      <c r="C14" s="15" t="s">
        <v>36</v>
      </c>
      <c r="D14" s="15" t="s">
        <v>37</v>
      </c>
      <c r="E14" s="15" t="s">
        <v>38</v>
      </c>
      <c r="F14" s="15" t="s">
        <v>39</v>
      </c>
      <c r="G14" s="15" t="s">
        <v>40</v>
      </c>
      <c r="H14" s="15" t="s">
        <v>41</v>
      </c>
      <c r="I14" s="15" t="s">
        <v>42</v>
      </c>
    </row>
    <row r="15" customFormat="false" ht="15" hidden="false" customHeight="true" outlineLevel="0" collapsed="false">
      <c r="A15" s="16" t="s">
        <v>43</v>
      </c>
      <c r="B15" s="16"/>
      <c r="C15" s="16"/>
      <c r="D15" s="16"/>
      <c r="E15" s="16"/>
      <c r="F15" s="16"/>
      <c r="G15" s="16"/>
      <c r="H15" s="16"/>
      <c r="I15" s="16"/>
    </row>
    <row r="16" customFormat="false" ht="30" hidden="false" customHeight="true" outlineLevel="0" collapsed="false">
      <c r="A16" s="17" t="n">
        <v>1</v>
      </c>
      <c r="B16" s="18" t="s">
        <v>44</v>
      </c>
      <c r="C16" s="19" t="s">
        <v>45</v>
      </c>
      <c r="D16" s="17" t="s">
        <v>46</v>
      </c>
      <c r="E16" s="14" t="s">
        <v>146</v>
      </c>
      <c r="F16" s="36" t="s">
        <v>147</v>
      </c>
      <c r="G16" s="36" t="s">
        <v>148</v>
      </c>
      <c r="H16" s="37" t="n">
        <v>0.253472222222222</v>
      </c>
      <c r="I16" s="23" t="str">
        <f aca="false">IF(D16="All","Yes",IF($C$5="","Yes",IF(D16=$C$5,"Yes","No – N/A for "&amp;$C$5)))</f>
        <v>Yes</v>
      </c>
    </row>
    <row r="17" customFormat="false" ht="30" hidden="false" customHeight="true" outlineLevel="0" collapsed="false">
      <c r="A17" s="17" t="n">
        <v>2</v>
      </c>
      <c r="B17" s="18" t="s">
        <v>47</v>
      </c>
      <c r="C17" s="19" t="s">
        <v>45</v>
      </c>
      <c r="D17" s="17" t="s">
        <v>46</v>
      </c>
      <c r="E17" s="14" t="s">
        <v>146</v>
      </c>
      <c r="F17" s="36" t="s">
        <v>149</v>
      </c>
      <c r="G17" s="36" t="s">
        <v>148</v>
      </c>
      <c r="H17" s="37" t="n">
        <v>0.255555555555556</v>
      </c>
      <c r="I17" s="23" t="str">
        <f aca="false">IF(D17="All","Yes",IF($C$5="","Yes",IF(D17=$C$5,"Yes","No – N/A for "&amp;$C$5)))</f>
        <v>Yes</v>
      </c>
    </row>
    <row r="18" customFormat="false" ht="42" hidden="false" customHeight="true" outlineLevel="0" collapsed="false">
      <c r="A18" s="17" t="n">
        <v>3</v>
      </c>
      <c r="B18" s="18" t="s">
        <v>48</v>
      </c>
      <c r="C18" s="19" t="s">
        <v>45</v>
      </c>
      <c r="D18" s="17" t="s">
        <v>46</v>
      </c>
      <c r="E18" s="14" t="s">
        <v>146</v>
      </c>
      <c r="F18" s="21"/>
      <c r="G18" s="36" t="s">
        <v>148</v>
      </c>
      <c r="H18" s="37" t="n">
        <v>0.256944444444444</v>
      </c>
      <c r="I18" s="23" t="str">
        <f aca="false">IF(D18="All","Yes",IF($C$5="","Yes",IF(D18=$C$5,"Yes","No – N/A for "&amp;$C$5)))</f>
        <v>Yes</v>
      </c>
    </row>
    <row r="19" customFormat="false" ht="30" hidden="false" customHeight="true" outlineLevel="0" collapsed="false">
      <c r="A19" s="17" t="n">
        <v>4</v>
      </c>
      <c r="B19" s="18" t="s">
        <v>49</v>
      </c>
      <c r="C19" s="19" t="s">
        <v>45</v>
      </c>
      <c r="D19" s="17" t="s">
        <v>46</v>
      </c>
      <c r="E19" s="14" t="s">
        <v>146</v>
      </c>
      <c r="F19" s="21"/>
      <c r="G19" s="36" t="s">
        <v>148</v>
      </c>
      <c r="H19" s="37" t="n">
        <v>0.260416666666667</v>
      </c>
      <c r="I19" s="23" t="str">
        <f aca="false">IF(D19="All","Yes",IF($C$5="","Yes",IF(D19=$C$5,"Yes","No – N/A for "&amp;$C$5)))</f>
        <v>Yes</v>
      </c>
    </row>
    <row r="20" customFormat="false" ht="42" hidden="false" customHeight="true" outlineLevel="0" collapsed="false">
      <c r="A20" s="17" t="n">
        <v>5</v>
      </c>
      <c r="B20" s="18" t="s">
        <v>50</v>
      </c>
      <c r="C20" s="19" t="s">
        <v>45</v>
      </c>
      <c r="D20" s="17" t="s">
        <v>46</v>
      </c>
      <c r="E20" s="14" t="s">
        <v>146</v>
      </c>
      <c r="F20" s="21"/>
      <c r="G20" s="36" t="s">
        <v>148</v>
      </c>
      <c r="H20" s="37" t="n">
        <v>0.263888888888889</v>
      </c>
      <c r="I20" s="23" t="str">
        <f aca="false">IF(D20="All","Yes",IF($C$5="","Yes",IF(D20=$C$5,"Yes","No – N/A for "&amp;$C$5)))</f>
        <v>Yes</v>
      </c>
    </row>
    <row r="21" customFormat="false" ht="30" hidden="false" customHeight="true" outlineLevel="0" collapsed="false">
      <c r="A21" s="17" t="n">
        <v>6</v>
      </c>
      <c r="B21" s="18" t="s">
        <v>51</v>
      </c>
      <c r="C21" s="19" t="s">
        <v>45</v>
      </c>
      <c r="D21" s="17" t="s">
        <v>46</v>
      </c>
      <c r="E21" s="14" t="s">
        <v>146</v>
      </c>
      <c r="F21" s="36" t="s">
        <v>150</v>
      </c>
      <c r="G21" s="36" t="s">
        <v>151</v>
      </c>
      <c r="H21" s="37" t="n">
        <v>0.265277777777778</v>
      </c>
      <c r="I21" s="23" t="str">
        <f aca="false">IF(D21="All","Yes",IF($C$5="","Yes",IF(D21=$C$5,"Yes","No – N/A for "&amp;$C$5)))</f>
        <v>Yes</v>
      </c>
    </row>
    <row r="22" customFormat="false" ht="30" hidden="false" customHeight="true" outlineLevel="0" collapsed="false">
      <c r="A22" s="17" t="n">
        <v>7</v>
      </c>
      <c r="B22" s="18" t="s">
        <v>52</v>
      </c>
      <c r="C22" s="19" t="s">
        <v>45</v>
      </c>
      <c r="D22" s="17" t="s">
        <v>46</v>
      </c>
      <c r="E22" s="14" t="s">
        <v>146</v>
      </c>
      <c r="F22" s="21"/>
      <c r="G22" s="36" t="s">
        <v>151</v>
      </c>
      <c r="H22" s="37" t="n">
        <v>0.267361111111111</v>
      </c>
      <c r="I22" s="23" t="str">
        <f aca="false">IF(D22="All","Yes",IF($C$5="","Yes",IF(D22=$C$5,"Yes","No – N/A for "&amp;$C$5)))</f>
        <v>Yes</v>
      </c>
    </row>
    <row r="23" customFormat="false" ht="30" hidden="false" customHeight="true" outlineLevel="0" collapsed="false">
      <c r="A23" s="17" t="n">
        <v>8</v>
      </c>
      <c r="B23" s="18" t="s">
        <v>53</v>
      </c>
      <c r="C23" s="19" t="s">
        <v>45</v>
      </c>
      <c r="D23" s="17" t="s">
        <v>46</v>
      </c>
      <c r="E23" s="14" t="s">
        <v>146</v>
      </c>
      <c r="F23" s="21"/>
      <c r="G23" s="36" t="s">
        <v>148</v>
      </c>
      <c r="H23" s="37" t="n">
        <v>0.267361111111111</v>
      </c>
      <c r="I23" s="23" t="str">
        <f aca="false">IF(D23="All","Yes",IF($C$5="","Yes",IF(D23=$C$5,"Yes","No – N/A for "&amp;$C$5)))</f>
        <v>Yes</v>
      </c>
    </row>
    <row r="24" customFormat="false" ht="15" hidden="false" customHeight="true" outlineLevel="0" collapsed="false">
      <c r="A24" s="16" t="s">
        <v>54</v>
      </c>
      <c r="B24" s="16"/>
      <c r="C24" s="16"/>
      <c r="D24" s="16"/>
      <c r="E24" s="16"/>
      <c r="F24" s="16"/>
      <c r="G24" s="16"/>
      <c r="H24" s="16"/>
      <c r="I24" s="16"/>
    </row>
    <row r="25" customFormat="false" ht="30" hidden="false" customHeight="true" outlineLevel="0" collapsed="false">
      <c r="A25" s="17" t="n">
        <v>9</v>
      </c>
      <c r="B25" s="18" t="s">
        <v>55</v>
      </c>
      <c r="C25" s="17" t="s">
        <v>56</v>
      </c>
      <c r="D25" s="17" t="s">
        <v>46</v>
      </c>
      <c r="E25" s="14" t="s">
        <v>146</v>
      </c>
      <c r="F25" s="21"/>
      <c r="G25" s="36" t="s">
        <v>148</v>
      </c>
      <c r="H25" s="37" t="n">
        <v>0.277777777777778</v>
      </c>
      <c r="I25" s="23" t="str">
        <f aca="false">IF(D25="All","Yes",IF($C$5="","Yes",IF(D25=$C$5,"Yes","No – N/A for "&amp;$C$5)))</f>
        <v>Yes</v>
      </c>
    </row>
    <row r="26" customFormat="false" ht="42" hidden="false" customHeight="true" outlineLevel="0" collapsed="false">
      <c r="A26" s="17" t="n">
        <v>10</v>
      </c>
      <c r="B26" s="18" t="s">
        <v>57</v>
      </c>
      <c r="C26" s="17" t="s">
        <v>56</v>
      </c>
      <c r="D26" s="17" t="s">
        <v>46</v>
      </c>
      <c r="E26" s="14" t="s">
        <v>146</v>
      </c>
      <c r="F26" s="21"/>
      <c r="G26" s="36" t="s">
        <v>148</v>
      </c>
      <c r="H26" s="37" t="n">
        <v>0.28125</v>
      </c>
      <c r="I26" s="23" t="str">
        <f aca="false">IF(D26="All","Yes",IF($C$5="","Yes",IF(D26=$C$5,"Yes","No – N/A for "&amp;$C$5)))</f>
        <v>Yes</v>
      </c>
    </row>
    <row r="27" customFormat="false" ht="42" hidden="false" customHeight="true" outlineLevel="0" collapsed="false">
      <c r="A27" s="17" t="n">
        <v>11</v>
      </c>
      <c r="B27" s="18" t="s">
        <v>58</v>
      </c>
      <c r="C27" s="19" t="s">
        <v>45</v>
      </c>
      <c r="D27" s="17" t="s">
        <v>59</v>
      </c>
      <c r="E27" s="14" t="s">
        <v>152</v>
      </c>
      <c r="F27" s="21"/>
      <c r="G27" s="36" t="s">
        <v>148</v>
      </c>
      <c r="H27" s="37" t="n">
        <v>0.28125</v>
      </c>
      <c r="I27" s="23" t="str">
        <f aca="false">IF(D27="All","Yes",IF($C$5="","Yes",IF(D27=$C$5,"Yes","No – N/A for "&amp;$C$5)))</f>
        <v>No – N/A for F-02</v>
      </c>
    </row>
    <row r="28" customFormat="false" ht="42" hidden="false" customHeight="true" outlineLevel="0" collapsed="false">
      <c r="A28" s="17" t="n">
        <v>12</v>
      </c>
      <c r="B28" s="18" t="s">
        <v>60</v>
      </c>
      <c r="C28" s="19" t="s">
        <v>45</v>
      </c>
      <c r="D28" s="17" t="s">
        <v>61</v>
      </c>
      <c r="E28" s="14" t="s">
        <v>146</v>
      </c>
      <c r="F28" s="36" t="s">
        <v>153</v>
      </c>
      <c r="G28" s="36" t="s">
        <v>148</v>
      </c>
      <c r="H28" s="37" t="n">
        <v>0.284722222222222</v>
      </c>
      <c r="I28" s="23" t="str">
        <f aca="false">IF(D28="All","Yes",IF($C$5="","Yes",IF(D28=$C$5,"Yes","No – N/A for "&amp;$C$5)))</f>
        <v>Yes</v>
      </c>
    </row>
    <row r="29" customFormat="false" ht="30" hidden="false" customHeight="true" outlineLevel="0" collapsed="false">
      <c r="A29" s="17" t="n">
        <v>13</v>
      </c>
      <c r="B29" s="18" t="s">
        <v>62</v>
      </c>
      <c r="C29" s="17" t="s">
        <v>56</v>
      </c>
      <c r="D29" s="17" t="s">
        <v>46</v>
      </c>
      <c r="E29" s="14" t="s">
        <v>146</v>
      </c>
      <c r="F29" s="21"/>
      <c r="G29" s="36" t="s">
        <v>148</v>
      </c>
      <c r="H29" s="37" t="n">
        <v>0.284722222222222</v>
      </c>
      <c r="I29" s="23" t="str">
        <f aca="false">IF(D29="All","Yes",IF($C$5="","Yes",IF(D29=$C$5,"Yes","No – N/A for "&amp;$C$5)))</f>
        <v>Yes</v>
      </c>
    </row>
    <row r="30" customFormat="false" ht="42" hidden="false" customHeight="true" outlineLevel="0" collapsed="false">
      <c r="A30" s="17" t="n">
        <v>14</v>
      </c>
      <c r="B30" s="18" t="s">
        <v>63</v>
      </c>
      <c r="C30" s="17" t="s">
        <v>56</v>
      </c>
      <c r="D30" s="17" t="s">
        <v>46</v>
      </c>
      <c r="E30" s="14" t="s">
        <v>154</v>
      </c>
      <c r="F30" s="36" t="s">
        <v>155</v>
      </c>
      <c r="G30" s="36" t="s">
        <v>151</v>
      </c>
      <c r="H30" s="37" t="n">
        <v>0.291666666666667</v>
      </c>
      <c r="I30" s="23" t="str">
        <f aca="false">IF(D30="All","Yes",IF($C$5="","Yes",IF(D30=$C$5,"Yes","No – N/A for "&amp;$C$5)))</f>
        <v>Yes</v>
      </c>
    </row>
    <row r="31" customFormat="false" ht="15" hidden="false" customHeight="true" outlineLevel="0" collapsed="false">
      <c r="A31" s="16" t="s">
        <v>64</v>
      </c>
      <c r="B31" s="16"/>
      <c r="C31" s="16"/>
      <c r="D31" s="16"/>
      <c r="E31" s="16"/>
      <c r="F31" s="16"/>
      <c r="G31" s="16"/>
      <c r="H31" s="16"/>
      <c r="I31" s="16"/>
    </row>
    <row r="32" customFormat="false" ht="30" hidden="false" customHeight="true" outlineLevel="0" collapsed="false">
      <c r="A32" s="17" t="n">
        <v>15</v>
      </c>
      <c r="B32" s="18" t="s">
        <v>65</v>
      </c>
      <c r="C32" s="17" t="s">
        <v>56</v>
      </c>
      <c r="D32" s="17" t="s">
        <v>46</v>
      </c>
      <c r="E32" s="14" t="s">
        <v>146</v>
      </c>
      <c r="F32" s="21"/>
      <c r="G32" s="36" t="s">
        <v>148</v>
      </c>
      <c r="H32" s="37" t="n">
        <v>0.395833333333333</v>
      </c>
      <c r="I32" s="23" t="str">
        <f aca="false">IF(D32="All","Yes",IF($C$5="","Yes",IF(D32=$C$5,"Yes","No – N/A for "&amp;$C$5)))</f>
        <v>Yes</v>
      </c>
    </row>
    <row r="33" customFormat="false" ht="42" hidden="false" customHeight="true" outlineLevel="0" collapsed="false">
      <c r="A33" s="17" t="n">
        <v>16</v>
      </c>
      <c r="B33" s="18" t="s">
        <v>66</v>
      </c>
      <c r="C33" s="19" t="s">
        <v>45</v>
      </c>
      <c r="D33" s="17" t="s">
        <v>46</v>
      </c>
      <c r="E33" s="14" t="s">
        <v>146</v>
      </c>
      <c r="F33" s="36" t="s">
        <v>156</v>
      </c>
      <c r="G33" s="36" t="s">
        <v>151</v>
      </c>
      <c r="H33" s="37" t="n">
        <v>0.395833333333333</v>
      </c>
      <c r="I33" s="23" t="str">
        <f aca="false">IF(D33="All","Yes",IF($C$5="","Yes",IF(D33=$C$5,"Yes","No – N/A for "&amp;$C$5)))</f>
        <v>Yes</v>
      </c>
    </row>
    <row r="34" customFormat="false" ht="42" hidden="false" customHeight="true" outlineLevel="0" collapsed="false">
      <c r="A34" s="17" t="n">
        <v>17</v>
      </c>
      <c r="B34" s="18" t="s">
        <v>67</v>
      </c>
      <c r="C34" s="19" t="s">
        <v>45</v>
      </c>
      <c r="D34" s="17" t="s">
        <v>46</v>
      </c>
      <c r="E34" s="14" t="s">
        <v>146</v>
      </c>
      <c r="F34" s="21"/>
      <c r="G34" s="36" t="s">
        <v>151</v>
      </c>
      <c r="H34" s="37" t="n">
        <v>0.427083333333333</v>
      </c>
      <c r="I34" s="23" t="str">
        <f aca="false">IF(D34="All","Yes",IF($C$5="","Yes",IF(D34=$C$5,"Yes","No – N/A for "&amp;$C$5)))</f>
        <v>Yes</v>
      </c>
    </row>
    <row r="35" customFormat="false" ht="42" hidden="false" customHeight="true" outlineLevel="0" collapsed="false">
      <c r="A35" s="17" t="n">
        <v>18</v>
      </c>
      <c r="B35" s="18" t="s">
        <v>68</v>
      </c>
      <c r="C35" s="19" t="s">
        <v>45</v>
      </c>
      <c r="D35" s="17" t="s">
        <v>46</v>
      </c>
      <c r="E35" s="14" t="s">
        <v>146</v>
      </c>
      <c r="F35" s="36" t="s">
        <v>157</v>
      </c>
      <c r="G35" s="36" t="s">
        <v>158</v>
      </c>
      <c r="H35" s="37" t="n">
        <v>0.545138888888889</v>
      </c>
      <c r="I35" s="23" t="str">
        <f aca="false">IF(D35="All","Yes",IF($C$5="","Yes",IF(D35=$C$5,"Yes","No – N/A for "&amp;$C$5)))</f>
        <v>Yes</v>
      </c>
    </row>
    <row r="36" customFormat="false" ht="30" hidden="false" customHeight="true" outlineLevel="0" collapsed="false">
      <c r="A36" s="17" t="n">
        <v>19</v>
      </c>
      <c r="B36" s="18" t="s">
        <v>69</v>
      </c>
      <c r="C36" s="17" t="s">
        <v>56</v>
      </c>
      <c r="D36" s="17" t="s">
        <v>46</v>
      </c>
      <c r="E36" s="14" t="s">
        <v>146</v>
      </c>
      <c r="F36" s="36" t="s">
        <v>159</v>
      </c>
      <c r="G36" s="36" t="s">
        <v>151</v>
      </c>
      <c r="H36" s="37" t="n">
        <v>0.555555555555556</v>
      </c>
      <c r="I36" s="23" t="str">
        <f aca="false">IF(D36="All","Yes",IF($C$5="","Yes",IF(D36=$C$5,"Yes","No – N/A for "&amp;$C$5)))</f>
        <v>Yes</v>
      </c>
    </row>
    <row r="38" customFormat="false" ht="15" hidden="false" customHeight="true" outlineLevel="0" collapsed="false">
      <c r="A38" s="7" t="s">
        <v>70</v>
      </c>
      <c r="B38" s="7"/>
      <c r="C38" s="7"/>
      <c r="D38" s="7"/>
      <c r="E38" s="7"/>
      <c r="F38" s="7"/>
      <c r="G38" s="7"/>
      <c r="H38" s="7"/>
      <c r="I38" s="7"/>
    </row>
    <row r="39" customFormat="false" ht="15" hidden="false" customHeight="true" outlineLevel="0" collapsed="false">
      <c r="A39" s="11" t="s">
        <v>71</v>
      </c>
      <c r="B39" s="11"/>
      <c r="C39" s="38" t="n">
        <v>46315.2708333333</v>
      </c>
      <c r="D39" s="38"/>
    </row>
    <row r="40" customFormat="false" ht="15" hidden="false" customHeight="true" outlineLevel="0" collapsed="false">
      <c r="A40" s="11" t="s">
        <v>72</v>
      </c>
      <c r="B40" s="11"/>
      <c r="C40" s="38" t="n">
        <v>46315.4027777778</v>
      </c>
      <c r="D40" s="38"/>
    </row>
    <row r="41" customFormat="false" ht="15" hidden="false" customHeight="true" outlineLevel="0" collapsed="false">
      <c r="A41" s="11" t="s">
        <v>73</v>
      </c>
      <c r="B41" s="11"/>
      <c r="C41" s="38" t="n">
        <v>46315.4270833333</v>
      </c>
      <c r="D41" s="38"/>
    </row>
    <row r="42" customFormat="false" ht="15" hidden="false" customHeight="true" outlineLevel="0" collapsed="false">
      <c r="A42" s="11" t="s">
        <v>74</v>
      </c>
      <c r="B42" s="11"/>
      <c r="C42" s="38" t="n">
        <v>46315.5416666667</v>
      </c>
      <c r="D42" s="38"/>
    </row>
    <row r="43" customFormat="false" ht="15" hidden="false" customHeight="true" outlineLevel="0" collapsed="false">
      <c r="A43" s="11" t="s">
        <v>75</v>
      </c>
      <c r="B43" s="11"/>
      <c r="C43" s="25" t="n">
        <f aca="false">IF(OR($C$40="",$C$41=""),"",ROUND(($C$41-$C$40)*1440,0))</f>
        <v>35</v>
      </c>
      <c r="D43" s="25"/>
      <c r="E43" s="26" t="str">
        <f aca="false">IF($C$43="","Enter the times above",IF($C$43&lt;0,"Check the times: first tray before the zones were in tolerance",IF($C$43&gt;=$C$11,"OK: soak "&amp;$C$43&amp;" min (minimum "&amp;$C$11&amp;")","SHORT: "&amp;$C$43&amp;" min (minimum "&amp;$C$11&amp;") – product of the first trays at risk")))</f>
        <v>OK: soak 35 min (minimum 30)</v>
      </c>
      <c r="F43" s="26"/>
      <c r="G43" s="26"/>
      <c r="H43" s="26"/>
      <c r="I43" s="26"/>
    </row>
    <row r="44" customFormat="false" ht="15" hidden="false" customHeight="true" outlineLevel="0" collapsed="false">
      <c r="A44" s="11" t="s">
        <v>76</v>
      </c>
      <c r="B44" s="11"/>
      <c r="C44" s="25" t="n">
        <f aca="false">IF(OR($C$41="",$C$42=""),"",ROUND(($C$42-$C$41)*24,1))</f>
        <v>2.7</v>
      </c>
      <c r="D44" s="25"/>
      <c r="E44" s="26" t="str">
        <f aca="false">IF($C$44="","Enter the times above",IF($C$44&lt;0,"Check the times",IF($C$44&lt;=$C$12,"OK: within "&amp;$C$12&amp;" h","LATE: more than "&amp;$C$12&amp;" h after the first tray")))</f>
        <v>OK: within 8 h</v>
      </c>
      <c r="F44" s="26"/>
      <c r="G44" s="26"/>
      <c r="H44" s="26"/>
      <c r="I44" s="26"/>
    </row>
    <row r="46" customFormat="false" ht="15" hidden="false" customHeight="true" outlineLevel="0" collapsed="false">
      <c r="A46" s="7" t="s">
        <v>77</v>
      </c>
      <c r="B46" s="7"/>
      <c r="C46" s="7"/>
      <c r="D46" s="7"/>
      <c r="E46" s="7"/>
      <c r="F46" s="7"/>
      <c r="G46" s="7"/>
      <c r="H46" s="7"/>
      <c r="I46" s="7"/>
    </row>
    <row r="47" customFormat="false" ht="15" hidden="false" customHeight="false" outlineLevel="0" collapsed="false">
      <c r="B47" s="27" t="s">
        <v>78</v>
      </c>
      <c r="C47" s="27" t="s">
        <v>79</v>
      </c>
      <c r="D47" s="27" t="s">
        <v>80</v>
      </c>
      <c r="E47" s="27" t="s">
        <v>81</v>
      </c>
      <c r="F47" s="27" t="s">
        <v>82</v>
      </c>
      <c r="G47" s="27" t="s">
        <v>83</v>
      </c>
      <c r="H47" s="27" t="s">
        <v>38</v>
      </c>
    </row>
    <row r="48" customFormat="false" ht="15" hidden="false" customHeight="false" outlineLevel="0" collapsed="false">
      <c r="B48" s="28" t="s">
        <v>84</v>
      </c>
      <c r="C48" s="39" t="n">
        <v>720</v>
      </c>
      <c r="D48" s="39" t="n">
        <v>724</v>
      </c>
      <c r="E48" s="39" t="n">
        <v>718</v>
      </c>
      <c r="F48" s="30" t="n">
        <f aca="false">IF(OR(C48="",D48=""),"",D48-C48)</f>
        <v>4</v>
      </c>
      <c r="G48" s="30" t="n">
        <f aca="false">IF(OR(C48="",E48=""),"",E48-C48)</f>
        <v>-2</v>
      </c>
      <c r="H48" s="25" t="str">
        <f aca="false">IF(OR(F48="",G48=""),"",IF(AND(ABS(F48)&lt;=$C$10,ABS(G48)&lt;=$C$10),"In tol.","OUT"))</f>
        <v>In tol.</v>
      </c>
    </row>
    <row r="49" customFormat="false" ht="15" hidden="false" customHeight="false" outlineLevel="0" collapsed="false">
      <c r="B49" s="28" t="s">
        <v>85</v>
      </c>
      <c r="C49" s="39" t="n">
        <v>870</v>
      </c>
      <c r="D49" s="39" t="n">
        <v>866</v>
      </c>
      <c r="E49" s="39" t="n">
        <v>872</v>
      </c>
      <c r="F49" s="30" t="n">
        <f aca="false">IF(OR(C49="",D49=""),"",D49-C49)</f>
        <v>-4</v>
      </c>
      <c r="G49" s="30" t="n">
        <f aca="false">IF(OR(C49="",E49=""),"",E49-C49)</f>
        <v>2</v>
      </c>
      <c r="H49" s="25" t="str">
        <f aca="false">IF(OR(F49="",G49=""),"",IF(AND(ABS(F49)&lt;=$C$10,ABS(G49)&lt;=$C$10),"In tol.","OUT"))</f>
        <v>In tol.</v>
      </c>
    </row>
    <row r="50" customFormat="false" ht="15" hidden="false" customHeight="false" outlineLevel="0" collapsed="false">
      <c r="B50" s="28" t="s">
        <v>86</v>
      </c>
      <c r="C50" s="39" t="n">
        <v>870</v>
      </c>
      <c r="D50" s="39" t="n">
        <v>873</v>
      </c>
      <c r="E50" s="39" t="n">
        <v>868</v>
      </c>
      <c r="F50" s="30" t="n">
        <f aca="false">IF(OR(C50="",D50=""),"",D50-C50)</f>
        <v>3</v>
      </c>
      <c r="G50" s="30" t="n">
        <f aca="false">IF(OR(C50="",E50=""),"",E50-C50)</f>
        <v>-2</v>
      </c>
      <c r="H50" s="25" t="str">
        <f aca="false">IF(OR(F50="",G50=""),"",IF(AND(ABS(F50)&lt;=$C$10,ABS(G50)&lt;=$C$10),"In tol.","OUT"))</f>
        <v>In tol.</v>
      </c>
    </row>
    <row r="51" customFormat="false" ht="15" hidden="false" customHeight="false" outlineLevel="0" collapsed="false">
      <c r="B51" s="28" t="s">
        <v>87</v>
      </c>
      <c r="C51" s="39" t="n">
        <v>560</v>
      </c>
      <c r="D51" s="39" t="n">
        <v>557</v>
      </c>
      <c r="E51" s="39" t="n">
        <v>562</v>
      </c>
      <c r="F51" s="30" t="n">
        <f aca="false">IF(OR(C51="",D51=""),"",D51-C51)</f>
        <v>-3</v>
      </c>
      <c r="G51" s="30" t="n">
        <f aca="false">IF(OR(C51="",E51=""),"",E51-C51)</f>
        <v>2</v>
      </c>
      <c r="H51" s="25" t="str">
        <f aca="false">IF(OR(F51="",G51=""),"",IF(AND(ABS(F51)&lt;=$C$10,ABS(G51)&lt;=$C$10),"In tol.","OUT"))</f>
        <v>In tol.</v>
      </c>
    </row>
    <row r="52" customFormat="false" ht="15" hidden="false" customHeight="false" outlineLevel="0" collapsed="false">
      <c r="B52" s="28" t="s">
        <v>88</v>
      </c>
      <c r="C52" s="39" t="n">
        <v>580</v>
      </c>
      <c r="D52" s="39" t="n">
        <v>584</v>
      </c>
      <c r="E52" s="39" t="n">
        <v>578</v>
      </c>
      <c r="F52" s="30" t="n">
        <f aca="false">IF(OR(C52="",D52=""),"",D52-C52)</f>
        <v>4</v>
      </c>
      <c r="G52" s="30" t="n">
        <f aca="false">IF(OR(C52="",E52=""),"",E52-C52)</f>
        <v>-2</v>
      </c>
      <c r="H52" s="25" t="str">
        <f aca="false">IF(OR(F52="",G52=""),"",IF(AND(ABS(F52)&lt;=$C$10,ABS(G52)&lt;=$C$10),"In tol.","OUT"))</f>
        <v>In tol.</v>
      </c>
    </row>
    <row r="53" customFormat="false" ht="15" hidden="false" customHeight="false" outlineLevel="0" collapsed="false">
      <c r="B53" s="28" t="s">
        <v>89</v>
      </c>
      <c r="C53" s="39" t="n">
        <v>580</v>
      </c>
      <c r="D53" s="39" t="n">
        <v>579</v>
      </c>
      <c r="E53" s="39" t="n">
        <v>583</v>
      </c>
      <c r="F53" s="30" t="n">
        <f aca="false">IF(OR(C53="",D53=""),"",D53-C53)</f>
        <v>-1</v>
      </c>
      <c r="G53" s="30" t="n">
        <f aca="false">IF(OR(C53="",E53=""),"",E53-C53)</f>
        <v>3</v>
      </c>
      <c r="H53" s="25" t="str">
        <f aca="false">IF(OR(F53="",G53=""),"",IF(AND(ABS(F53)&lt;=$C$10,ABS(G53)&lt;=$C$10),"In tol.","OUT"))</f>
        <v>In tol.</v>
      </c>
    </row>
    <row r="55" customFormat="false" ht="15" hidden="false" customHeight="true" outlineLevel="0" collapsed="false">
      <c r="A55" s="7" t="s">
        <v>90</v>
      </c>
      <c r="B55" s="7"/>
      <c r="C55" s="7"/>
      <c r="D55" s="7"/>
      <c r="E55" s="7"/>
      <c r="F55" s="7"/>
      <c r="G55" s="7"/>
      <c r="H55" s="7"/>
      <c r="I55" s="7"/>
    </row>
    <row r="56" customFormat="false" ht="15" hidden="false" customHeight="true" outlineLevel="0" collapsed="false">
      <c r="A56" s="11" t="s">
        <v>91</v>
      </c>
      <c r="B56" s="11"/>
      <c r="C56" s="11"/>
      <c r="D56" s="11"/>
      <c r="E56" s="26" t="n">
        <f aca="false">COUNTIF($I$15:$I$36,"Yes")</f>
        <v>18</v>
      </c>
      <c r="F56" s="26"/>
      <c r="G56" s="26"/>
      <c r="H56" s="26"/>
      <c r="I56" s="26"/>
    </row>
    <row r="57" customFormat="false" ht="15" hidden="false" customHeight="true" outlineLevel="0" collapsed="false">
      <c r="A57" s="11" t="s">
        <v>92</v>
      </c>
      <c r="B57" s="11"/>
      <c r="C57" s="11"/>
      <c r="D57" s="11"/>
      <c r="E57" s="26" t="n">
        <f aca="false">COUNTIFS($I$15:$I$36,"Yes",$E$15:$E$36,"&lt;&gt;")</f>
        <v>18</v>
      </c>
      <c r="F57" s="26"/>
      <c r="G57" s="26"/>
      <c r="H57" s="26"/>
      <c r="I57" s="26"/>
    </row>
    <row r="58" customFormat="false" ht="15" hidden="false" customHeight="true" outlineLevel="0" collapsed="false">
      <c r="A58" s="11" t="s">
        <v>93</v>
      </c>
      <c r="B58" s="11"/>
      <c r="C58" s="11"/>
      <c r="D58" s="11"/>
      <c r="E58" s="26" t="n">
        <f aca="false">COUNTIFS($I$15:$I$36,"Yes",$C$15:$C$36,"Yes",$E$15:$E$36,"Not OK")</f>
        <v>0</v>
      </c>
      <c r="F58" s="26"/>
      <c r="G58" s="26"/>
      <c r="H58" s="26"/>
      <c r="I58" s="26"/>
    </row>
    <row r="59" customFormat="false" ht="15" hidden="false" customHeight="true" outlineLevel="0" collapsed="false">
      <c r="A59" s="11" t="s">
        <v>94</v>
      </c>
      <c r="B59" s="11"/>
      <c r="C59" s="11"/>
      <c r="D59" s="11"/>
      <c r="E59" s="26" t="n">
        <f aca="false">COUNTIFS($I$15:$I$36,"Yes",$C$15:$C$36,"No",$E$15:$E$36,"Not OK")</f>
        <v>1</v>
      </c>
      <c r="F59" s="26"/>
      <c r="G59" s="26"/>
      <c r="H59" s="26"/>
      <c r="I59" s="26"/>
    </row>
    <row r="60" customFormat="false" ht="15" hidden="false" customHeight="true" outlineLevel="0" collapsed="false">
      <c r="A60" s="11" t="s">
        <v>95</v>
      </c>
      <c r="B60" s="11"/>
      <c r="C60" s="11"/>
      <c r="D60" s="11"/>
      <c r="E60" s="26" t="n">
        <f aca="false">COUNTIFS($I$15:$I$36,"Yes",$C$15:$C$36,"Yes",$E$15:$E$36,"")</f>
        <v>0</v>
      </c>
      <c r="F60" s="26"/>
      <c r="G60" s="26"/>
      <c r="H60" s="26"/>
      <c r="I60" s="26"/>
    </row>
    <row r="61" customFormat="false" ht="15" hidden="false" customHeight="true" outlineLevel="0" collapsed="false">
      <c r="A61" s="11" t="s">
        <v>96</v>
      </c>
      <c r="B61" s="11"/>
      <c r="C61" s="11"/>
      <c r="D61" s="11"/>
      <c r="E61" s="26" t="n">
        <f aca="false">COUNTIF(H48:H53,"OUT")</f>
        <v>0</v>
      </c>
      <c r="F61" s="26"/>
      <c r="G61" s="26"/>
      <c r="H61" s="26"/>
      <c r="I61" s="26"/>
    </row>
    <row r="62" customFormat="false" ht="15" hidden="false" customHeight="true" outlineLevel="0" collapsed="false">
      <c r="A62" s="11" t="s">
        <v>97</v>
      </c>
      <c r="B62" s="11"/>
      <c r="C62" s="11"/>
      <c r="D62" s="11"/>
      <c r="E62" s="26" t="n">
        <f aca="false">COUNTBLANK(H48:H53)</f>
        <v>0</v>
      </c>
      <c r="F62" s="26"/>
      <c r="G62" s="26"/>
      <c r="H62" s="26"/>
      <c r="I62" s="26"/>
    </row>
    <row r="63" customFormat="false" ht="15" hidden="false" customHeight="true" outlineLevel="0" collapsed="false">
      <c r="A63" s="11" t="s">
        <v>98</v>
      </c>
      <c r="B63" s="11"/>
      <c r="C63" s="11"/>
      <c r="D63" s="11"/>
      <c r="E63" s="31" t="str">
        <f aca="false">IF($E$58&gt;0,"NOT RELEASED – critical item Not OK: start the reaction plan in CALOR (Alarms)",IF(OR($E$60&gt;0,$E$62&gt;0,$C$43=""),"INCOMPLETE – answer every critical item, the zone readings and the times",IF($E$61&gt;0,"NOT RELEASED – zone out of tolerance",IF(LEFT($E$43,5)="SHORT","NOT RELEASED – soak too short",IF(LEFT($E$44,4)="LATE","RELEASED – first-off test late: record why","RELEASED FOR PRODUCTION")))))</f>
        <v>RELEASED FOR PRODUCTION</v>
      </c>
      <c r="F63" s="31"/>
      <c r="G63" s="31"/>
      <c r="H63" s="31"/>
      <c r="I63" s="31"/>
    </row>
    <row r="65" customFormat="false" ht="48" hidden="false" customHeight="true" outlineLevel="0" collapsed="false">
      <c r="A65" s="11" t="s">
        <v>99</v>
      </c>
      <c r="B65" s="11"/>
      <c r="C65" s="36" t="s">
        <v>160</v>
      </c>
      <c r="D65" s="36"/>
      <c r="E65" s="36"/>
      <c r="F65" s="36"/>
      <c r="G65" s="36"/>
      <c r="H65" s="36"/>
      <c r="I65" s="36"/>
    </row>
    <row r="67" customFormat="false" ht="15" hidden="false" customHeight="true" outlineLevel="0" collapsed="false">
      <c r="B67" s="27" t="s">
        <v>100</v>
      </c>
      <c r="C67" s="27" t="s">
        <v>101</v>
      </c>
      <c r="D67" s="27"/>
      <c r="E67" s="27" t="s">
        <v>102</v>
      </c>
      <c r="F67" s="27"/>
      <c r="G67" s="27" t="s">
        <v>103</v>
      </c>
      <c r="H67" s="27"/>
      <c r="I67" s="27"/>
    </row>
    <row r="68" customFormat="false" ht="25.5" hidden="false" customHeight="true" outlineLevel="0" collapsed="false">
      <c r="B68" s="32" t="s">
        <v>104</v>
      </c>
      <c r="C68" s="34" t="s">
        <v>148</v>
      </c>
      <c r="D68" s="34"/>
      <c r="E68" s="12"/>
      <c r="F68" s="12"/>
      <c r="G68" s="12"/>
      <c r="H68" s="12"/>
      <c r="I68" s="12"/>
    </row>
    <row r="69" customFormat="false" ht="25.5" hidden="false" customHeight="true" outlineLevel="0" collapsed="false">
      <c r="B69" s="32" t="s">
        <v>105</v>
      </c>
      <c r="C69" s="34" t="s">
        <v>151</v>
      </c>
      <c r="D69" s="34"/>
      <c r="E69" s="12"/>
      <c r="F69" s="12"/>
      <c r="G69" s="12"/>
      <c r="H69" s="12"/>
      <c r="I69" s="12"/>
    </row>
    <row r="70" customFormat="false" ht="25.5" hidden="false" customHeight="true" outlineLevel="0" collapsed="false">
      <c r="B70" s="32" t="s">
        <v>106</v>
      </c>
      <c r="C70" s="34" t="s">
        <v>161</v>
      </c>
      <c r="D70" s="34"/>
      <c r="E70" s="12"/>
      <c r="F70" s="12"/>
      <c r="G70" s="12"/>
      <c r="H70" s="12"/>
      <c r="I70" s="12"/>
    </row>
  </sheetData>
  <mergeCells count="63">
    <mergeCell ref="A1:H1"/>
    <mergeCell ref="A2:F3"/>
    <mergeCell ref="G2:H2"/>
    <mergeCell ref="G3:H3"/>
    <mergeCell ref="C5:E5"/>
    <mergeCell ref="G5:H5"/>
    <mergeCell ref="C6:E6"/>
    <mergeCell ref="G6:H6"/>
    <mergeCell ref="C7:H7"/>
    <mergeCell ref="A9:B9"/>
    <mergeCell ref="A10:B10"/>
    <mergeCell ref="A11:B11"/>
    <mergeCell ref="A12:B12"/>
    <mergeCell ref="A15:I15"/>
    <mergeCell ref="A24:I24"/>
    <mergeCell ref="A31:I31"/>
    <mergeCell ref="A38:I38"/>
    <mergeCell ref="A39:B39"/>
    <mergeCell ref="C39:D39"/>
    <mergeCell ref="A40:B40"/>
    <mergeCell ref="C40:D40"/>
    <mergeCell ref="A41:B41"/>
    <mergeCell ref="C41:D41"/>
    <mergeCell ref="A42:B42"/>
    <mergeCell ref="C42:D42"/>
    <mergeCell ref="A43:B43"/>
    <mergeCell ref="C43:D43"/>
    <mergeCell ref="E43:I43"/>
    <mergeCell ref="A44:B44"/>
    <mergeCell ref="C44:D44"/>
    <mergeCell ref="E44:I44"/>
    <mergeCell ref="A46:I46"/>
    <mergeCell ref="A55:I55"/>
    <mergeCell ref="A56:D56"/>
    <mergeCell ref="E56:I56"/>
    <mergeCell ref="A57:D57"/>
    <mergeCell ref="E57:I57"/>
    <mergeCell ref="A58:D58"/>
    <mergeCell ref="E58:I58"/>
    <mergeCell ref="A59:D59"/>
    <mergeCell ref="E59:I59"/>
    <mergeCell ref="A60:D60"/>
    <mergeCell ref="E60:I60"/>
    <mergeCell ref="A61:D61"/>
    <mergeCell ref="E61:I61"/>
    <mergeCell ref="A62:D62"/>
    <mergeCell ref="E62:I62"/>
    <mergeCell ref="A63:D63"/>
    <mergeCell ref="E63:I63"/>
    <mergeCell ref="A65:B65"/>
    <mergeCell ref="C65:I65"/>
    <mergeCell ref="C67:D67"/>
    <mergeCell ref="E67:F67"/>
    <mergeCell ref="G67:I67"/>
    <mergeCell ref="C68:D68"/>
    <mergeCell ref="E68:F68"/>
    <mergeCell ref="G68:I68"/>
    <mergeCell ref="C69:D69"/>
    <mergeCell ref="E69:F69"/>
    <mergeCell ref="G69:I69"/>
    <mergeCell ref="C70:D70"/>
    <mergeCell ref="E70:F70"/>
    <mergeCell ref="G70:I70"/>
  </mergeCells>
  <conditionalFormatting sqref="E15:E36">
    <cfRule type="expression" priority="2" aboveAverage="0" equalAverage="0" bottom="0" percent="0" rank="0" text="" dxfId="0">
      <formula>E15="Not OK"</formula>
    </cfRule>
  </conditionalFormatting>
  <conditionalFormatting sqref="B15:H36">
    <cfRule type="expression" priority="3" aboveAverage="0" equalAverage="0" bottom="0" percent="0" rank="0" text="" dxfId="1">
      <formula>LEFT($I15,2)="No"</formula>
    </cfRule>
  </conditionalFormatting>
  <conditionalFormatting sqref="H48:H53">
    <cfRule type="expression" priority="4" aboveAverage="0" equalAverage="0" bottom="0" percent="0" rank="0" text="" dxfId="0">
      <formula>H48="OUT"</formula>
    </cfRule>
  </conditionalFormatting>
  <conditionalFormatting sqref="E63">
    <cfRule type="expression" priority="5" aboveAverage="0" equalAverage="0" bottom="0" percent="0" rank="0" text="" dxfId="0">
      <formula>OR(LEFT(E63,3)="NOT",LEFT(E63,8)="SHUTDOWN N")</formula>
    </cfRule>
    <cfRule type="expression" priority="6" aboveAverage="0" equalAverage="0" bottom="0" percent="0" rank="0" text="" dxfId="2">
      <formula>OR(LEFT(E63,10)="RELEASED F",E63="SHUTDOWN COMPLETE")</formula>
    </cfRule>
    <cfRule type="expression" priority="7" aboveAverage="0" equalAverage="0" bottom="0" percent="0" rank="0" text="" dxfId="3">
      <formula>OR(LEFT(E63,10)="INCOMPLETE",LEFT(E63,10)="RELEASED –",LEFT(E63,10)="COMPLETE –")</formula>
    </cfRule>
  </conditionalFormatting>
  <dataValidations count="4">
    <dataValidation allowBlank="true" errorStyle="stop" operator="between" showDropDown="false" showErrorMessage="false" showInputMessage="false" sqref="C5" type="list">
      <formula1>"F-01,F-02,F-03,F-04"</formula1>
      <formula2>0</formula2>
    </dataValidation>
    <dataValidation allowBlank="true" errorStyle="stop" operator="between" showDropDown="false" showErrorMessage="false" showInputMessage="false" sqref="C6" type="list">
      <formula1>"A (06:00-14:00),B (14:00-22:00),C (22:00-06:00)"</formula1>
      <formula2>0</formula2>
    </dataValidation>
    <dataValidation allowBlank="true" errorStyle="stop" operator="between" showDropDown="false" showErrorMessage="false" showInputMessage="false" sqref="G5" type="list">
      <formula1>"Cold start (from ambient),Restart after power failure,Restart after maintenance,Restart after an alarm stop,Restart after holiday / idle"</formula1>
      <formula2>0</formula2>
    </dataValidation>
    <dataValidation allowBlank="true" errorStyle="stop" operator="between" showDropDown="false" showErrorMessage="false" showInputMessage="false" sqref="E15:E36" type="list">
      <formula1>"OK,Not OK,N/A"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&amp;L&amp;8Form F-HT-02A Rev 0 · &amp;A&amp;R&amp;8Page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A8"/>
    <pageSetUpPr fitToPage="tru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2"/>
  </cols>
  <sheetData>
    <row r="1" customFormat="false" ht="15" hidden="false" customHeight="true" outlineLevel="0" collapsed="false">
      <c r="A1" s="7" t="s">
        <v>21</v>
      </c>
      <c r="B1" s="7"/>
      <c r="C1" s="7"/>
      <c r="D1" s="7"/>
      <c r="E1" s="7"/>
      <c r="F1" s="7"/>
      <c r="G1" s="7"/>
      <c r="H1" s="7"/>
    </row>
    <row r="2" customFormat="false" ht="18" hidden="false" customHeight="true" outlineLevel="0" collapsed="false">
      <c r="A2" s="8" t="s">
        <v>107</v>
      </c>
      <c r="B2" s="8"/>
      <c r="C2" s="8"/>
      <c r="D2" s="8"/>
      <c r="E2" s="8"/>
      <c r="F2" s="8"/>
      <c r="G2" s="9" t="s">
        <v>108</v>
      </c>
      <c r="H2" s="9"/>
    </row>
    <row r="3" customFormat="false" ht="18" hidden="false" customHeight="true" outlineLevel="0" collapsed="false">
      <c r="A3" s="8"/>
      <c r="B3" s="8"/>
      <c r="C3" s="8"/>
      <c r="D3" s="8"/>
      <c r="E3" s="8"/>
      <c r="F3" s="8"/>
      <c r="G3" s="9" t="s">
        <v>109</v>
      </c>
      <c r="H3" s="9"/>
    </row>
    <row r="5" customFormat="false" ht="15" hidden="false" customHeight="true" outlineLevel="0" collapsed="false">
      <c r="A5" s="10"/>
      <c r="B5" s="11" t="s">
        <v>25</v>
      </c>
      <c r="C5" s="34" t="s">
        <v>61</v>
      </c>
      <c r="D5" s="34"/>
      <c r="E5" s="34"/>
      <c r="F5" s="11" t="s">
        <v>26</v>
      </c>
      <c r="G5" s="35" t="n">
        <v>46319</v>
      </c>
      <c r="H5" s="35"/>
    </row>
    <row r="6" customFormat="false" ht="15" hidden="false" customHeight="true" outlineLevel="0" collapsed="false">
      <c r="A6" s="10"/>
      <c r="B6" s="11" t="s">
        <v>27</v>
      </c>
      <c r="C6" s="34" t="s">
        <v>162</v>
      </c>
      <c r="D6" s="34"/>
      <c r="E6" s="34"/>
      <c r="F6" s="11" t="s">
        <v>110</v>
      </c>
      <c r="G6" s="34" t="s">
        <v>163</v>
      </c>
      <c r="H6" s="34"/>
    </row>
    <row r="7" customFormat="false" ht="15" hidden="false" customHeight="true" outlineLevel="0" collapsed="false">
      <c r="A7" s="10"/>
      <c r="B7" s="11" t="s">
        <v>29</v>
      </c>
      <c r="C7" s="34" t="s">
        <v>164</v>
      </c>
      <c r="D7" s="34"/>
      <c r="E7" s="34"/>
      <c r="F7" s="34"/>
      <c r="G7" s="34"/>
      <c r="H7" s="34"/>
    </row>
    <row r="9" customFormat="false" ht="15" hidden="false" customHeight="true" outlineLevel="0" collapsed="false">
      <c r="A9" s="11" t="s">
        <v>30</v>
      </c>
      <c r="B9" s="11"/>
    </row>
    <row r="10" customFormat="false" ht="15" hidden="false" customHeight="true" outlineLevel="0" collapsed="false">
      <c r="A10" s="9" t="s">
        <v>31</v>
      </c>
      <c r="B10" s="9"/>
      <c r="C10" s="14" t="n">
        <v>10</v>
      </c>
    </row>
    <row r="12" customFormat="false" ht="27.75" hidden="false" customHeight="true" outlineLevel="0" collapsed="false">
      <c r="A12" s="15" t="s">
        <v>34</v>
      </c>
      <c r="B12" s="15" t="s">
        <v>35</v>
      </c>
      <c r="C12" s="15" t="s">
        <v>36</v>
      </c>
      <c r="D12" s="15" t="s">
        <v>37</v>
      </c>
      <c r="E12" s="15" t="s">
        <v>38</v>
      </c>
      <c r="F12" s="15" t="s">
        <v>39</v>
      </c>
      <c r="G12" s="15" t="s">
        <v>40</v>
      </c>
      <c r="H12" s="15" t="s">
        <v>41</v>
      </c>
      <c r="I12" s="15" t="s">
        <v>42</v>
      </c>
    </row>
    <row r="13" customFormat="false" ht="15" hidden="false" customHeight="true" outlineLevel="0" collapsed="false">
      <c r="A13" s="16" t="s">
        <v>111</v>
      </c>
      <c r="B13" s="16"/>
      <c r="C13" s="16"/>
      <c r="D13" s="16"/>
      <c r="E13" s="16"/>
      <c r="F13" s="16"/>
      <c r="G13" s="16"/>
      <c r="H13" s="16"/>
      <c r="I13" s="16"/>
    </row>
    <row r="14" customFormat="false" ht="30" hidden="false" customHeight="true" outlineLevel="0" collapsed="false">
      <c r="A14" s="17" t="n">
        <v>1</v>
      </c>
      <c r="B14" s="18" t="s">
        <v>112</v>
      </c>
      <c r="C14" s="19" t="s">
        <v>45</v>
      </c>
      <c r="D14" s="17" t="s">
        <v>46</v>
      </c>
      <c r="E14" s="14" t="s">
        <v>146</v>
      </c>
      <c r="F14" s="36" t="s">
        <v>165</v>
      </c>
      <c r="G14" s="36" t="s">
        <v>148</v>
      </c>
      <c r="H14" s="37" t="n">
        <v>0.916666666666667</v>
      </c>
      <c r="I14" s="23" t="str">
        <f aca="false">IF(D14="All","Yes",IF($C$5="","Yes",IF(D14=$C$5,"Yes","No – N/A for "&amp;$C$5)))</f>
        <v>Yes</v>
      </c>
    </row>
    <row r="15" customFormat="false" ht="42" hidden="false" customHeight="true" outlineLevel="0" collapsed="false">
      <c r="A15" s="17" t="n">
        <v>2</v>
      </c>
      <c r="B15" s="18" t="s">
        <v>113</v>
      </c>
      <c r="C15" s="19" t="s">
        <v>45</v>
      </c>
      <c r="D15" s="17" t="s">
        <v>46</v>
      </c>
      <c r="E15" s="14" t="s">
        <v>146</v>
      </c>
      <c r="F15" s="36" t="s">
        <v>166</v>
      </c>
      <c r="G15" s="36" t="s">
        <v>148</v>
      </c>
      <c r="H15" s="37" t="n">
        <v>0.920138888888889</v>
      </c>
      <c r="I15" s="23" t="str">
        <f aca="false">IF(D15="All","Yes",IF($C$5="","Yes",IF(D15=$C$5,"Yes","No – N/A for "&amp;$C$5)))</f>
        <v>Yes</v>
      </c>
    </row>
    <row r="16" customFormat="false" ht="30" hidden="false" customHeight="true" outlineLevel="0" collapsed="false">
      <c r="A16" s="17" t="n">
        <v>3</v>
      </c>
      <c r="B16" s="18" t="s">
        <v>114</v>
      </c>
      <c r="C16" s="19" t="s">
        <v>45</v>
      </c>
      <c r="D16" s="17" t="s">
        <v>46</v>
      </c>
      <c r="E16" s="14" t="s">
        <v>146</v>
      </c>
      <c r="F16" s="36" t="s">
        <v>167</v>
      </c>
      <c r="G16" s="36" t="s">
        <v>148</v>
      </c>
      <c r="H16" s="37" t="n">
        <v>0.923611111111111</v>
      </c>
      <c r="I16" s="23" t="str">
        <f aca="false">IF(D16="All","Yes",IF($C$5="","Yes",IF(D16=$C$5,"Yes","No – N/A for "&amp;$C$5)))</f>
        <v>Yes</v>
      </c>
    </row>
    <row r="17" customFormat="false" ht="30" hidden="false" customHeight="true" outlineLevel="0" collapsed="false">
      <c r="A17" s="17" t="n">
        <v>4</v>
      </c>
      <c r="B17" s="18" t="s">
        <v>115</v>
      </c>
      <c r="C17" s="19" t="s">
        <v>45</v>
      </c>
      <c r="D17" s="17" t="s">
        <v>46</v>
      </c>
      <c r="E17" s="14" t="s">
        <v>146</v>
      </c>
      <c r="F17" s="36" t="s">
        <v>168</v>
      </c>
      <c r="G17" s="36" t="s">
        <v>151</v>
      </c>
      <c r="H17" s="37" t="n">
        <v>0.09375</v>
      </c>
      <c r="I17" s="23" t="str">
        <f aca="false">IF(D17="All","Yes",IF($C$5="","Yes",IF(D17=$C$5,"Yes","No – N/A for "&amp;$C$5)))</f>
        <v>Yes</v>
      </c>
    </row>
    <row r="18" customFormat="false" ht="15" hidden="false" customHeight="true" outlineLevel="0" collapsed="false">
      <c r="A18" s="16" t="s">
        <v>116</v>
      </c>
      <c r="B18" s="16"/>
      <c r="C18" s="16"/>
      <c r="D18" s="16"/>
      <c r="E18" s="16"/>
      <c r="F18" s="16"/>
      <c r="G18" s="16"/>
      <c r="H18" s="16"/>
      <c r="I18" s="16"/>
    </row>
    <row r="19" customFormat="false" ht="30" hidden="false" customHeight="true" outlineLevel="0" collapsed="false">
      <c r="A19" s="17" t="n">
        <v>5</v>
      </c>
      <c r="B19" s="18" t="s">
        <v>117</v>
      </c>
      <c r="C19" s="19" t="s">
        <v>45</v>
      </c>
      <c r="D19" s="17" t="s">
        <v>46</v>
      </c>
      <c r="E19" s="14" t="s">
        <v>146</v>
      </c>
      <c r="F19" s="21"/>
      <c r="G19" s="36" t="s">
        <v>151</v>
      </c>
      <c r="H19" s="37" t="n">
        <v>0.0972222222222222</v>
      </c>
      <c r="I19" s="23" t="str">
        <f aca="false">IF(D19="All","Yes",IF($C$5="","Yes",IF(D19=$C$5,"Yes","No – N/A for "&amp;$C$5)))</f>
        <v>Yes</v>
      </c>
    </row>
    <row r="20" customFormat="false" ht="30" hidden="false" customHeight="true" outlineLevel="0" collapsed="false">
      <c r="A20" s="17" t="n">
        <v>6</v>
      </c>
      <c r="B20" s="18" t="s">
        <v>118</v>
      </c>
      <c r="C20" s="19" t="s">
        <v>45</v>
      </c>
      <c r="D20" s="17" t="s">
        <v>46</v>
      </c>
      <c r="E20" s="14" t="s">
        <v>146</v>
      </c>
      <c r="F20" s="36" t="s">
        <v>169</v>
      </c>
      <c r="G20" s="36" t="s">
        <v>151</v>
      </c>
      <c r="H20" s="37" t="n">
        <v>0.100694444444444</v>
      </c>
      <c r="I20" s="23" t="str">
        <f aca="false">IF(D20="All","Yes",IF($C$5="","Yes",IF(D20=$C$5,"Yes","No – N/A for "&amp;$C$5)))</f>
        <v>Yes</v>
      </c>
    </row>
    <row r="21" customFormat="false" ht="30" hidden="false" customHeight="true" outlineLevel="0" collapsed="false">
      <c r="A21" s="17" t="n">
        <v>7</v>
      </c>
      <c r="B21" s="18" t="s">
        <v>119</v>
      </c>
      <c r="C21" s="17" t="s">
        <v>56</v>
      </c>
      <c r="D21" s="17" t="s">
        <v>46</v>
      </c>
      <c r="E21" s="14" t="s">
        <v>146</v>
      </c>
      <c r="F21" s="21"/>
      <c r="G21" s="36" t="s">
        <v>151</v>
      </c>
      <c r="H21" s="37" t="n">
        <v>0.100694444444444</v>
      </c>
      <c r="I21" s="23" t="str">
        <f aca="false">IF(D21="All","Yes",IF($C$5="","Yes",IF(D21=$C$5,"Yes","No – N/A for "&amp;$C$5)))</f>
        <v>Yes</v>
      </c>
    </row>
    <row r="22" customFormat="false" ht="30" hidden="false" customHeight="true" outlineLevel="0" collapsed="false">
      <c r="A22" s="17" t="n">
        <v>8</v>
      </c>
      <c r="B22" s="18" t="s">
        <v>120</v>
      </c>
      <c r="C22" s="17" t="s">
        <v>56</v>
      </c>
      <c r="D22" s="17" t="s">
        <v>46</v>
      </c>
      <c r="E22" s="14" t="s">
        <v>146</v>
      </c>
      <c r="F22" s="21"/>
      <c r="G22" s="36" t="s">
        <v>148</v>
      </c>
      <c r="H22" s="37" t="n">
        <v>0.104166666666667</v>
      </c>
      <c r="I22" s="23" t="str">
        <f aca="false">IF(D22="All","Yes",IF($C$5="","Yes",IF(D22=$C$5,"Yes","No – N/A for "&amp;$C$5)))</f>
        <v>Yes</v>
      </c>
    </row>
    <row r="23" customFormat="false" ht="42" hidden="false" customHeight="true" outlineLevel="0" collapsed="false">
      <c r="A23" s="17" t="n">
        <v>9</v>
      </c>
      <c r="B23" s="18" t="s">
        <v>121</v>
      </c>
      <c r="C23" s="17" t="s">
        <v>56</v>
      </c>
      <c r="D23" s="17" t="s">
        <v>59</v>
      </c>
      <c r="E23" s="14" t="s">
        <v>152</v>
      </c>
      <c r="F23" s="21"/>
      <c r="G23" s="36" t="s">
        <v>148</v>
      </c>
      <c r="H23" s="37" t="n">
        <v>0.104166666666667</v>
      </c>
      <c r="I23" s="23" t="str">
        <f aca="false">IF(D23="All","Yes",IF($C$5="","Yes",IF(D23=$C$5,"Yes","No – N/A for "&amp;$C$5)))</f>
        <v>No – N/A for F-02</v>
      </c>
    </row>
    <row r="24" customFormat="false" ht="42" hidden="false" customHeight="true" outlineLevel="0" collapsed="false">
      <c r="A24" s="17" t="n">
        <v>10</v>
      </c>
      <c r="B24" s="18" t="s">
        <v>122</v>
      </c>
      <c r="C24" s="19" t="s">
        <v>45</v>
      </c>
      <c r="D24" s="17" t="s">
        <v>61</v>
      </c>
      <c r="E24" s="14" t="s">
        <v>146</v>
      </c>
      <c r="F24" s="36" t="s">
        <v>170</v>
      </c>
      <c r="G24" s="36" t="s">
        <v>148</v>
      </c>
      <c r="H24" s="37" t="n">
        <v>0.107638888888889</v>
      </c>
      <c r="I24" s="23" t="str">
        <f aca="false">IF(D24="All","Yes",IF($C$5="","Yes",IF(D24=$C$5,"Yes","No – N/A for "&amp;$C$5)))</f>
        <v>Yes</v>
      </c>
    </row>
    <row r="25" customFormat="false" ht="30" hidden="false" customHeight="true" outlineLevel="0" collapsed="false">
      <c r="A25" s="17" t="n">
        <v>11</v>
      </c>
      <c r="B25" s="18" t="s">
        <v>123</v>
      </c>
      <c r="C25" s="17" t="s">
        <v>56</v>
      </c>
      <c r="D25" s="17" t="s">
        <v>46</v>
      </c>
      <c r="E25" s="14" t="s">
        <v>146</v>
      </c>
      <c r="F25" s="21"/>
      <c r="G25" s="36" t="s">
        <v>148</v>
      </c>
      <c r="H25" s="37" t="n">
        <v>0.111111111111111</v>
      </c>
      <c r="I25" s="23" t="str">
        <f aca="false">IF(D25="All","Yes",IF($C$5="","Yes",IF(D25=$C$5,"Yes","No – N/A for "&amp;$C$5)))</f>
        <v>Yes</v>
      </c>
    </row>
    <row r="26" customFormat="false" ht="30" hidden="false" customHeight="true" outlineLevel="0" collapsed="false">
      <c r="A26" s="17" t="n">
        <v>12</v>
      </c>
      <c r="B26" s="18" t="s">
        <v>124</v>
      </c>
      <c r="C26" s="19" t="s">
        <v>45</v>
      </c>
      <c r="D26" s="17" t="s">
        <v>46</v>
      </c>
      <c r="E26" s="14" t="s">
        <v>146</v>
      </c>
      <c r="F26" s="21"/>
      <c r="G26" s="36" t="s">
        <v>151</v>
      </c>
      <c r="H26" s="37" t="n">
        <v>0.114583333333333</v>
      </c>
      <c r="I26" s="23" t="str">
        <f aca="false">IF(D26="All","Yes",IF($C$5="","Yes",IF(D26=$C$5,"Yes","No – N/A for "&amp;$C$5)))</f>
        <v>Yes</v>
      </c>
    </row>
    <row r="27" customFormat="false" ht="15" hidden="false" customHeight="true" outlineLevel="0" collapsed="false">
      <c r="A27" s="16" t="s">
        <v>125</v>
      </c>
      <c r="B27" s="16"/>
      <c r="C27" s="16"/>
      <c r="D27" s="16"/>
      <c r="E27" s="16"/>
      <c r="F27" s="16"/>
      <c r="G27" s="16"/>
      <c r="H27" s="16"/>
      <c r="I27" s="16"/>
    </row>
    <row r="28" customFormat="false" ht="42" hidden="false" customHeight="true" outlineLevel="0" collapsed="false">
      <c r="A28" s="17" t="n">
        <v>13</v>
      </c>
      <c r="B28" s="18" t="s">
        <v>126</v>
      </c>
      <c r="C28" s="19" t="s">
        <v>45</v>
      </c>
      <c r="D28" s="17" t="s">
        <v>46</v>
      </c>
      <c r="E28" s="14" t="s">
        <v>146</v>
      </c>
      <c r="F28" s="36" t="s">
        <v>171</v>
      </c>
      <c r="G28" s="36" t="s">
        <v>172</v>
      </c>
      <c r="H28" s="37" t="n">
        <v>0.375</v>
      </c>
      <c r="I28" s="23" t="str">
        <f aca="false">IF(D28="All","Yes",IF($C$5="","Yes",IF(D28=$C$5,"Yes","No – N/A for "&amp;$C$5)))</f>
        <v>Yes</v>
      </c>
    </row>
    <row r="29" customFormat="false" ht="42" hidden="false" customHeight="true" outlineLevel="0" collapsed="false">
      <c r="A29" s="17" t="n">
        <v>14</v>
      </c>
      <c r="B29" s="18" t="s">
        <v>127</v>
      </c>
      <c r="C29" s="17" t="s">
        <v>56</v>
      </c>
      <c r="D29" s="17" t="s">
        <v>46</v>
      </c>
      <c r="E29" s="14" t="s">
        <v>146</v>
      </c>
      <c r="F29" s="36" t="s">
        <v>173</v>
      </c>
      <c r="G29" s="36" t="s">
        <v>151</v>
      </c>
      <c r="H29" s="37" t="n">
        <v>0.118055555555556</v>
      </c>
      <c r="I29" s="23" t="str">
        <f aca="false">IF(D29="All","Yes",IF($C$5="","Yes",IF(D29=$C$5,"Yes","No – N/A for "&amp;$C$5)))</f>
        <v>Yes</v>
      </c>
    </row>
    <row r="31" customFormat="false" ht="15" hidden="false" customHeight="true" outlineLevel="0" collapsed="false">
      <c r="A31" s="7" t="s">
        <v>128</v>
      </c>
      <c r="B31" s="7"/>
      <c r="C31" s="7"/>
      <c r="D31" s="7"/>
      <c r="E31" s="7"/>
      <c r="F31" s="7"/>
      <c r="G31" s="7"/>
      <c r="H31" s="7"/>
      <c r="I31" s="7"/>
    </row>
    <row r="32" customFormat="false" ht="15" hidden="false" customHeight="true" outlineLevel="0" collapsed="false">
      <c r="A32" s="11" t="s">
        <v>129</v>
      </c>
      <c r="B32" s="11"/>
      <c r="C32" s="38" t="n">
        <v>46319.9201388889</v>
      </c>
      <c r="D32" s="38"/>
    </row>
    <row r="33" customFormat="false" ht="15" hidden="false" customHeight="true" outlineLevel="0" collapsed="false">
      <c r="A33" s="11" t="s">
        <v>130</v>
      </c>
      <c r="B33" s="11"/>
      <c r="C33" s="38" t="n">
        <v>46320.0902777778</v>
      </c>
      <c r="D33" s="38"/>
    </row>
    <row r="34" customFormat="false" ht="15" hidden="false" customHeight="true" outlineLevel="0" collapsed="false">
      <c r="A34" s="11" t="s">
        <v>131</v>
      </c>
      <c r="B34" s="11"/>
      <c r="C34" s="38" t="n">
        <v>46320.0972222222</v>
      </c>
      <c r="D34" s="38"/>
    </row>
    <row r="35" customFormat="false" ht="15" hidden="false" customHeight="true" outlineLevel="0" collapsed="false">
      <c r="A35" s="11" t="s">
        <v>132</v>
      </c>
      <c r="B35" s="11"/>
      <c r="C35" s="38" t="n">
        <v>46320.1006944445</v>
      </c>
      <c r="D35" s="38"/>
    </row>
    <row r="37" customFormat="false" ht="15" hidden="false" customHeight="true" outlineLevel="0" collapsed="false">
      <c r="B37" s="27" t="s">
        <v>133</v>
      </c>
      <c r="C37" s="27" t="s">
        <v>134</v>
      </c>
      <c r="D37" s="27" t="s">
        <v>135</v>
      </c>
      <c r="E37" s="27"/>
      <c r="F37" s="27"/>
      <c r="G37" s="27" t="s">
        <v>136</v>
      </c>
      <c r="H37" s="27"/>
      <c r="I37" s="27"/>
    </row>
    <row r="38" customFormat="false" ht="15" hidden="false" customHeight="false" outlineLevel="0" collapsed="false">
      <c r="B38" s="28" t="s">
        <v>137</v>
      </c>
      <c r="C38" s="14" t="n">
        <v>0</v>
      </c>
      <c r="D38" s="12"/>
      <c r="E38" s="12"/>
      <c r="F38" s="12"/>
      <c r="G38" s="12"/>
      <c r="H38" s="12"/>
      <c r="I38" s="12"/>
    </row>
    <row r="39" customFormat="false" ht="15" hidden="false" customHeight="false" outlineLevel="0" collapsed="false">
      <c r="B39" s="28" t="s">
        <v>138</v>
      </c>
      <c r="C39" s="14" t="n">
        <v>0</v>
      </c>
      <c r="D39" s="12"/>
      <c r="E39" s="12"/>
      <c r="F39" s="12"/>
      <c r="G39" s="12"/>
      <c r="H39" s="12"/>
      <c r="I39" s="12"/>
    </row>
    <row r="40" customFormat="false" ht="15" hidden="false" customHeight="false" outlineLevel="0" collapsed="false">
      <c r="B40" s="28" t="s">
        <v>139</v>
      </c>
      <c r="C40" s="14" t="n">
        <v>0</v>
      </c>
      <c r="D40" s="12"/>
      <c r="E40" s="12"/>
      <c r="F40" s="12"/>
      <c r="G40" s="12"/>
      <c r="H40" s="12"/>
      <c r="I40" s="12"/>
    </row>
    <row r="41" customFormat="false" ht="15" hidden="false" customHeight="false" outlineLevel="0" collapsed="false">
      <c r="B41" s="11" t="s">
        <v>140</v>
      </c>
      <c r="C41" s="33" t="n">
        <f aca="false">SUM(C38:C40)</f>
        <v>0</v>
      </c>
    </row>
    <row r="42" customFormat="false" ht="15" hidden="false" customHeight="false" outlineLevel="0" collapsed="false">
      <c r="B42" s="11" t="s">
        <v>141</v>
      </c>
      <c r="C42" s="26" t="str">
        <f aca="false">IF($C$41=0,"No product left inside",IF(COUNTA(G38:G40)&gt;=COUNTIF(C38:C40,"&gt;0"),"Disposition recorded for the trays left inside","Record the disposition of the trays left inside (hold for evaluation; hardness before release)"))</f>
        <v>No product left inside</v>
      </c>
      <c r="D42" s="26"/>
      <c r="E42" s="26"/>
      <c r="F42" s="26"/>
      <c r="G42" s="26"/>
      <c r="H42" s="26"/>
      <c r="I42" s="26"/>
    </row>
    <row r="44" customFormat="false" ht="15" hidden="false" customHeight="true" outlineLevel="0" collapsed="false">
      <c r="A44" s="7" t="s">
        <v>90</v>
      </c>
      <c r="B44" s="7"/>
      <c r="C44" s="7"/>
      <c r="D44" s="7"/>
      <c r="E44" s="7"/>
      <c r="F44" s="7"/>
      <c r="G44" s="7"/>
      <c r="H44" s="7"/>
      <c r="I44" s="7"/>
    </row>
    <row r="45" customFormat="false" ht="15" hidden="false" customHeight="true" outlineLevel="0" collapsed="false">
      <c r="A45" s="11" t="s">
        <v>91</v>
      </c>
      <c r="B45" s="11"/>
      <c r="C45" s="11"/>
      <c r="D45" s="11"/>
      <c r="E45" s="26" t="n">
        <f aca="false">COUNTIF($I$13:$I$29,"Yes")</f>
        <v>13</v>
      </c>
      <c r="F45" s="26"/>
      <c r="G45" s="26"/>
      <c r="H45" s="26"/>
      <c r="I45" s="26"/>
    </row>
    <row r="46" customFormat="false" ht="15" hidden="false" customHeight="true" outlineLevel="0" collapsed="false">
      <c r="A46" s="11" t="s">
        <v>92</v>
      </c>
      <c r="B46" s="11"/>
      <c r="C46" s="11"/>
      <c r="D46" s="11"/>
      <c r="E46" s="26" t="n">
        <f aca="false">COUNTIFS($I$13:$I$29,"Yes",$E$13:$E$29,"&lt;&gt;")</f>
        <v>13</v>
      </c>
      <c r="F46" s="26"/>
      <c r="G46" s="26"/>
      <c r="H46" s="26"/>
      <c r="I46" s="26"/>
    </row>
    <row r="47" customFormat="false" ht="15" hidden="false" customHeight="true" outlineLevel="0" collapsed="false">
      <c r="A47" s="11" t="s">
        <v>93</v>
      </c>
      <c r="B47" s="11"/>
      <c r="C47" s="11"/>
      <c r="D47" s="11"/>
      <c r="E47" s="26" t="n">
        <f aca="false">COUNTIFS($I$13:$I$29,"Yes",$C$13:$C$29,"Yes",$E$13:$E$29,"Not OK")</f>
        <v>0</v>
      </c>
      <c r="F47" s="26"/>
      <c r="G47" s="26"/>
      <c r="H47" s="26"/>
      <c r="I47" s="26"/>
    </row>
    <row r="48" customFormat="false" ht="15" hidden="false" customHeight="true" outlineLevel="0" collapsed="false">
      <c r="A48" s="11" t="s">
        <v>94</v>
      </c>
      <c r="B48" s="11"/>
      <c r="C48" s="11"/>
      <c r="D48" s="11"/>
      <c r="E48" s="26" t="n">
        <f aca="false">COUNTIFS($I$13:$I$29,"Yes",$C$13:$C$29,"No",$E$13:$E$29,"Not OK")</f>
        <v>0</v>
      </c>
      <c r="F48" s="26"/>
      <c r="G48" s="26"/>
      <c r="H48" s="26"/>
      <c r="I48" s="26"/>
    </row>
    <row r="49" customFormat="false" ht="15" hidden="false" customHeight="true" outlineLevel="0" collapsed="false">
      <c r="A49" s="11" t="s">
        <v>95</v>
      </c>
      <c r="B49" s="11"/>
      <c r="C49" s="11"/>
      <c r="D49" s="11"/>
      <c r="E49" s="26" t="n">
        <f aca="false">COUNTIFS($I$13:$I$29,"Yes",$C$13:$C$29,"Yes",$E$13:$E$29,"")</f>
        <v>0</v>
      </c>
      <c r="F49" s="26"/>
      <c r="G49" s="26"/>
      <c r="H49" s="26"/>
      <c r="I49" s="26"/>
    </row>
    <row r="50" customFormat="false" ht="15" hidden="false" customHeight="true" outlineLevel="0" collapsed="false">
      <c r="A50" s="11" t="s">
        <v>98</v>
      </c>
      <c r="B50" s="11"/>
      <c r="C50" s="11"/>
      <c r="D50" s="11"/>
      <c r="E50" s="31" t="str">
        <f aca="false">IF($E$47&gt;0,"SHUTDOWN NOT SAFE / NOT COMPLETE – critical item Not OK",IF($E$49&gt;0,"INCOMPLETE – answer every critical item",IF(AND($C$41&gt;0,LEFT($C$42,11)="Record the "),"COMPLETE – but record the disposition of the product left inside","SHUTDOWN COMPLETE")))</f>
        <v>SHUTDOWN COMPLETE</v>
      </c>
      <c r="F50" s="31"/>
      <c r="G50" s="31"/>
      <c r="H50" s="31"/>
      <c r="I50" s="31"/>
    </row>
    <row r="52" customFormat="false" ht="48" hidden="false" customHeight="true" outlineLevel="0" collapsed="false">
      <c r="A52" s="11" t="s">
        <v>99</v>
      </c>
      <c r="B52" s="11"/>
      <c r="C52" s="36" t="s">
        <v>174</v>
      </c>
      <c r="D52" s="36"/>
      <c r="E52" s="36"/>
      <c r="F52" s="36"/>
      <c r="G52" s="36"/>
      <c r="H52" s="36"/>
      <c r="I52" s="36"/>
    </row>
    <row r="54" customFormat="false" ht="15" hidden="false" customHeight="true" outlineLevel="0" collapsed="false">
      <c r="B54" s="27" t="s">
        <v>100</v>
      </c>
      <c r="C54" s="27" t="s">
        <v>101</v>
      </c>
      <c r="D54" s="27"/>
      <c r="E54" s="27" t="s">
        <v>102</v>
      </c>
      <c r="F54" s="27"/>
      <c r="G54" s="27" t="s">
        <v>103</v>
      </c>
      <c r="H54" s="27"/>
      <c r="I54" s="27"/>
    </row>
    <row r="55" customFormat="false" ht="25.5" hidden="false" customHeight="true" outlineLevel="0" collapsed="false">
      <c r="B55" s="32" t="s">
        <v>104</v>
      </c>
      <c r="C55" s="34" t="s">
        <v>148</v>
      </c>
      <c r="D55" s="34"/>
      <c r="E55" s="12"/>
      <c r="F55" s="12"/>
      <c r="G55" s="12"/>
      <c r="H55" s="12"/>
      <c r="I55" s="12"/>
    </row>
    <row r="56" customFormat="false" ht="25.5" hidden="false" customHeight="true" outlineLevel="0" collapsed="false">
      <c r="B56" s="32" t="s">
        <v>105</v>
      </c>
      <c r="C56" s="34" t="s">
        <v>151</v>
      </c>
      <c r="D56" s="34"/>
      <c r="E56" s="12"/>
      <c r="F56" s="12"/>
      <c r="G56" s="12"/>
      <c r="H56" s="12"/>
      <c r="I56" s="12"/>
    </row>
    <row r="57" customFormat="false" ht="25.5" hidden="false" customHeight="true" outlineLevel="0" collapsed="false">
      <c r="B57" s="32" t="s">
        <v>142</v>
      </c>
      <c r="C57" s="34" t="s">
        <v>175</v>
      </c>
      <c r="D57" s="34"/>
      <c r="E57" s="12"/>
      <c r="F57" s="12"/>
      <c r="G57" s="12"/>
      <c r="H57" s="12"/>
      <c r="I57" s="12"/>
    </row>
  </sheetData>
  <mergeCells count="59">
    <mergeCell ref="A1:H1"/>
    <mergeCell ref="A2:F3"/>
    <mergeCell ref="G2:H2"/>
    <mergeCell ref="G3:H3"/>
    <mergeCell ref="C5:E5"/>
    <mergeCell ref="G5:H5"/>
    <mergeCell ref="C6:E6"/>
    <mergeCell ref="G6:H6"/>
    <mergeCell ref="C7:H7"/>
    <mergeCell ref="A9:B9"/>
    <mergeCell ref="A10:B10"/>
    <mergeCell ref="A13:I13"/>
    <mergeCell ref="A18:I18"/>
    <mergeCell ref="A27:I27"/>
    <mergeCell ref="A31:I31"/>
    <mergeCell ref="A32:B32"/>
    <mergeCell ref="C32:D32"/>
    <mergeCell ref="A33:B33"/>
    <mergeCell ref="C33:D33"/>
    <mergeCell ref="A34:B34"/>
    <mergeCell ref="C34:D34"/>
    <mergeCell ref="A35:B35"/>
    <mergeCell ref="C35:D35"/>
    <mergeCell ref="D37:F37"/>
    <mergeCell ref="G37:I37"/>
    <mergeCell ref="D38:F38"/>
    <mergeCell ref="G38:I38"/>
    <mergeCell ref="D39:F39"/>
    <mergeCell ref="G39:I39"/>
    <mergeCell ref="D40:F40"/>
    <mergeCell ref="G40:I40"/>
    <mergeCell ref="C42:I42"/>
    <mergeCell ref="A44:I44"/>
    <mergeCell ref="A45:D45"/>
    <mergeCell ref="E45:I45"/>
    <mergeCell ref="A46:D46"/>
    <mergeCell ref="E46:I46"/>
    <mergeCell ref="A47:D47"/>
    <mergeCell ref="E47:I47"/>
    <mergeCell ref="A48:D48"/>
    <mergeCell ref="E48:I48"/>
    <mergeCell ref="A49:D49"/>
    <mergeCell ref="E49:I49"/>
    <mergeCell ref="A50:D50"/>
    <mergeCell ref="E50:I50"/>
    <mergeCell ref="A52:B52"/>
    <mergeCell ref="C52:I52"/>
    <mergeCell ref="C54:D54"/>
    <mergeCell ref="E54:F54"/>
    <mergeCell ref="G54:I54"/>
    <mergeCell ref="C55:D55"/>
    <mergeCell ref="E55:F55"/>
    <mergeCell ref="G55:I55"/>
    <mergeCell ref="C56:D56"/>
    <mergeCell ref="E56:F56"/>
    <mergeCell ref="G56:I56"/>
    <mergeCell ref="C57:D57"/>
    <mergeCell ref="E57:F57"/>
    <mergeCell ref="G57:I57"/>
  </mergeCells>
  <conditionalFormatting sqref="E13:E29">
    <cfRule type="expression" priority="2" aboveAverage="0" equalAverage="0" bottom="0" percent="0" rank="0" text="" dxfId="0">
      <formula>E13="Not OK"</formula>
    </cfRule>
  </conditionalFormatting>
  <conditionalFormatting sqref="B13:H29">
    <cfRule type="expression" priority="3" aboveAverage="0" equalAverage="0" bottom="0" percent="0" rank="0" text="" dxfId="1">
      <formula>LEFT($I13,2)="No"</formula>
    </cfRule>
  </conditionalFormatting>
  <conditionalFormatting sqref="E50">
    <cfRule type="expression" priority="4" aboveAverage="0" equalAverage="0" bottom="0" percent="0" rank="0" text="" dxfId="0">
      <formula>OR(LEFT(E50,3)="NOT",LEFT(E50,8)="SHUTDOWN N")</formula>
    </cfRule>
    <cfRule type="expression" priority="5" aboveAverage="0" equalAverage="0" bottom="0" percent="0" rank="0" text="" dxfId="2">
      <formula>OR(LEFT(E50,10)="RELEASED F",E50="SHUTDOWN COMPLETE")</formula>
    </cfRule>
    <cfRule type="expression" priority="6" aboveAverage="0" equalAverage="0" bottom="0" percent="0" rank="0" text="" dxfId="3">
      <formula>OR(LEFT(E50,10)="INCOMPLETE",LEFT(E50,10)="RELEASED –",LEFT(E50,10)="COMPLETE –")</formula>
    </cfRule>
  </conditionalFormatting>
  <dataValidations count="4">
    <dataValidation allowBlank="true" errorStyle="stop" operator="between" showDropDown="false" showErrorMessage="false" showInputMessage="false" sqref="C5" type="list">
      <formula1>"F-01,F-02,F-03,F-04"</formula1>
      <formula2>0</formula2>
    </dataValidation>
    <dataValidation allowBlank="true" errorStyle="stop" operator="between" showDropDown="false" showErrorMessage="false" showInputMessage="false" sqref="C6" type="list">
      <formula1>"A (06:00-14:00),B (14:00-22:00),C (22:00-06:00)"</formula1>
      <formula2>0</formula2>
    </dataValidation>
    <dataValidation allowBlank="true" errorStyle="stop" operator="between" showDropDown="false" showErrorMessage="false" showInputMessage="false" sqref="G5" type="list">
      <formula1>"Planned (no orders),Planned maintenance,Holiday / weekend,Emergency (alarm / power / gas),Breakdown"</formula1>
      <formula2>0</formula2>
    </dataValidation>
    <dataValidation allowBlank="true" errorStyle="stop" operator="between" showDropDown="false" showErrorMessage="false" showInputMessage="false" sqref="E13:E29" type="list">
      <formula1>"OK,Not OK,N/A"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&amp;L&amp;8Form F-HT-03A Rev 0 · &amp;A&amp;R&amp;8Page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2026-10-22T11:53:57Z</dcterms:created>
  <dc:creator>openpyxl</dc:creator>
  <dc:description/>
  <dc:language>en-US</dc:language>
  <cp:lastModifiedBy/>
  <dcterms:modified xsi:type="dcterms:W3CDTF">2026-10-22T11:53:57Z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